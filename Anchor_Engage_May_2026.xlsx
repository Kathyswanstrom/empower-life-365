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10.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8.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Calendar - MC" sheetId="2" state="visible" r:id="rId4"/>
    <sheet name="Calendar - AL" sheetId="3" state="visible" r:id="rId5"/>
    <sheet name="Calendar - IL" sheetId="4" state="visible" r:id="rId6"/>
    <sheet name="Daily - MC" sheetId="5" state="visible" r:id="rId7"/>
    <sheet name="Daily - AL" sheetId="6" state="visible" r:id="rId8"/>
    <sheet name="Daily - IL" sheetId="7" state="visible" r:id="rId9"/>
    <sheet name="Bonus Events" sheetId="8" state="visible" r:id="rId10"/>
    <sheet name="Holidays" sheetId="9" state="visible" r:id="rId11"/>
    <sheet name="Roster" sheetId="10" state="visible" r:id="rId12"/>
    <sheet name="Charting - MC" sheetId="11" state="visible" r:id="rId13"/>
    <sheet name="Charting - AL" sheetId="12" state="visible" r:id="rId14"/>
    <sheet name="Charting - IL" sheetId="13" state="visible" r:id="rId15"/>
    <sheet name="Library" sheetId="14" state="visible" r:id="rId16"/>
  </sheets>
  <definedNames>
    <definedName function="false" hidden="false" localSheetId="7" name="_xlnm.Print_Titles" vbProcedure="false">'Bonus Events'!$1:$3</definedName>
    <definedName function="false" hidden="false" localSheetId="11" name="_xlnm.Print_Titles" vbProcedure="false">'Charting - AL'!$A:$A,'Charting - AL'!$3:$4</definedName>
    <definedName function="false" hidden="false" localSheetId="12" name="_xlnm.Print_Titles" vbProcedure="false">'Charting - IL'!$A:$A,'Charting - IL'!$3:$4</definedName>
    <definedName function="false" hidden="false" localSheetId="10" name="_xlnm.Print_Titles" vbProcedure="false">'Charting - MC'!$A:$A,'Charting - MC'!$3:$4</definedName>
    <definedName function="false" hidden="false" localSheetId="5" name="_xlnm.Print_Titles" vbProcedure="false">'Daily - AL'!$1:$1</definedName>
    <definedName function="false" hidden="false" localSheetId="6" name="_xlnm.Print_Titles" vbProcedure="false">'Daily - IL'!$1:$1</definedName>
    <definedName function="false" hidden="false" localSheetId="4" name="_xlnm.Print_Titles" vbProcedure="false">'Daily - MC'!$1:$1</definedName>
    <definedName function="false" hidden="false" localSheetId="10" name="_xlnm.Print_Titles" vbProcedure="false">'Charting - MC'!$3:$4,'Charting - MC'!$A:$A</definedName>
    <definedName function="false" hidden="false" localSheetId="11" name="_xlnm.Print_Titles" vbProcedure="false">'Charting - AL'!$3:$4,'Charting - AL'!$A:$A</definedName>
    <definedName function="false" hidden="false" localSheetId="12" name="_xlnm.Print_Titles" vbProcedure="false">'Charting - IL'!$3:$4,'Charting - IL'!$A:$A</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<sst xmlns="http://schemas.openxmlformats.org/spreadsheetml/2006/main" count="5837" uniqueCount="997">
  <si>
    <t xml:space="preserve">ANCHOR ENGAGE</t>
  </si>
  <si>
    <t xml:space="preserve">May 2026  -  Spring in Bloom</t>
  </si>
  <si>
    <t xml:space="preserve">Connecting residents to what matters</t>
  </si>
  <si>
    <t xml:space="preserve">An Anchor Care Consulting product</t>
  </si>
  <si>
    <t xml:space="preserve">May celebrates spring at its peak: gardens bloom, family gathers for Mother's Day, and the country pauses on Memorial Day to remember those who served. This month's program leans into flowers, picnics, derby fun, patriotic music, berry season, warm-weather socials - and we travel to Italy on May 21.</t>
  </si>
  <si>
    <t xml:space="preserve">WORKBOOK CONTENTS</t>
  </si>
  <si>
    <t xml:space="preserve">Calendar - MC / AL / IL:  Monthly grid for each care level. Print landscape.</t>
  </si>
  <si>
    <t xml:space="preserve">Daily - MC / AL / IL:  Detailed activity tables for each level: 31 days x 7 slots, with the 6-card afternoon menu inline.</t>
  </si>
  <si>
    <t xml:space="preserve">Bonus Events:  Six big planned events for the month, shared across levels.</t>
  </si>
  <si>
    <t xml:space="preserve">Holidays:  Quick reference for theme tie-ins.</t>
  </si>
  <si>
    <t xml:space="preserve">Roster:  Add residents with care-level tags. Names auto-flow into Charting tabs.</t>
  </si>
  <si>
    <t xml:space="preserve">Charting - MC / AL / IL:  Per-resident, per-day, per-slot attendance. Auto-totals. A/O/D/N/A codes.</t>
  </si>
  <si>
    <t xml:space="preserve">Library:  Reusable banks: movies, group games, word games.</t>
  </si>
  <si>
    <t xml:space="preserve">DAILY ACTIVITY SLOTS</t>
  </si>
  <si>
    <t xml:space="preserve">  🌊  Sunrise Stretch (9:00 AM)</t>
  </si>
  <si>
    <t xml:space="preserve">  🧠  Trivia Tides (10:30 AM)</t>
  </si>
  <si>
    <t xml:space="preserve">  📰  Headlines at the Helm (12:00 PM)</t>
  </si>
  <si>
    <t xml:space="preserve">  🌿  Mellow Moorings (1:30 PM)</t>
  </si>
  <si>
    <t xml:space="preserve">  ⚓  Anchor's Choice (2:00 PM)</t>
  </si>
  <si>
    <t xml:space="preserve">  🔤  Word Waves (4:00 PM)</t>
  </si>
  <si>
    <t xml:space="preserve">  🌅  Sunset Social (6:30 PM)</t>
  </si>
  <si>
    <t xml:space="preserve">LEVEL TRACKS</t>
  </si>
  <si>
    <t xml:space="preserve">  Memory Care (MC) — Gentle, sensory-rich, repetition-friendly programming. All seated. Staff-led with simple cues.</t>
  </si>
  <si>
    <t xml:space="preserve">  Assisted Living (AL) — Mostly independent residents. Mix of easy and mid-level activities. Standard pace.</t>
  </si>
  <si>
    <t xml:space="preserve">  Independent (IL) — Active, independent residents. More challenge, real games, longer programs, outings.</t>
  </si>
  <si>
    <t xml:space="preserve">🇮🇹  TRAVEL DAY: May 21 - Italy</t>
  </si>
  <si>
    <t xml:space="preserve">Once-a-month travel day where every activity is themed to one country. Today: Italy. Italian opera, photos of Tuscany and the Amalfi Coast, pasta lunch, Italian language phrases on every table, gelato or cannoli for dessert, and an Italian movie classic in the evening.</t>
  </si>
  <si>
    <t xml:space="preserve">MAY 2026  -  MEMORY CARE</t>
  </si>
  <si>
    <t xml:space="preserve">Spring in Bloom  -  Anchor Engage by Anchor Care Consulting</t>
  </si>
  <si>
    <t xml:space="preserve">MONDAY</t>
  </si>
  <si>
    <t xml:space="preserve">TUESDAY</t>
  </si>
  <si>
    <t xml:space="preserve">WEDNESDAY</t>
  </si>
  <si>
    <t xml:space="preserve">THURSDAY</t>
  </si>
  <si>
    <t xml:space="preserve">FRIDAY</t>
  </si>
  <si>
    <t xml:space="preserve">SATURDAY</t>
  </si>
  <si>
    <t xml:space="preserve">SUNDAY</t>
  </si>
  <si>
    <t xml:space="preserve">1  May Day &amp; National Mother Goose Day</t>
  </si>
  <si>
    <t xml:space="preserve">2  Kentucky Derby Day (1st Saturday)</t>
  </si>
  <si>
    <t xml:space="preserve">3  National Garden Meditation Day</t>
  </si>
  <si>
    <t xml:space="preserve">9:00 AM: Sensory Spring Stretch
10:30 AM: 'Welcome to May' Trivia
12:00 PM: 'Welcome to May' Word Search
1:30 PM: Hand Massage with Lotion
2:00 PM: 6-choice menu (PM)
4:00 PM: Word Search: May Day &amp; Spring
6:30 PM: Lawrence Welk + Chamomile Tea</t>
  </si>
  <si>
    <t xml:space="preserve">9:00 AM: Music &amp; Movement: Marching Songs
10:30 AM: Kentucky Derby Trivia
12:00 PM: Sports Headlines + Famous Horses Trivia
1:30 PM: Derby Day Reading
2:00 PM: 6-choice menu (PM)
4:00 PM: Word Search: Kentucky Derby
6:30 PM: Derby Music &amp; Mint Lemonade</t>
  </si>
  <si>
    <t xml:space="preserve">9:00 AM: Sunday Calm Stretch + Hymn Hour
10:30 AM: Garden &amp; Plants Trivia
12:00 PM: Sunday Comics Read-Aloud + Garden Word List
1:30 PM: Sunday Hymn Listening
2:00 PM: 6-choice menu (PM)
4:00 PM: Word Search: Garden Meditation
6:30 PM: Hymn Sing &amp; Comfort Time</t>
  </si>
  <si>
    <t xml:space="preserve">4  Star Wars Day - 'May the 4th Be With You'</t>
  </si>
  <si>
    <t xml:space="preserve">5  Cinco de Mayo</t>
  </si>
  <si>
    <t xml:space="preserve">6  National Nurses Day &amp; National Beverage Day</t>
  </si>
  <si>
    <t xml:space="preserve">7  National Roast Leg of Lamb Day</t>
  </si>
  <si>
    <t xml:space="preserve">8  V-E Day (Victory in Europe, 1945) &amp; No Socks Day</t>
  </si>
  <si>
    <t xml:space="preserve">9  National Lost Sock Memorial Day &amp; National Train Day</t>
  </si>
  <si>
    <t xml:space="preserve">10  Mother's Day &amp; National Shrimp Day</t>
  </si>
  <si>
    <t xml:space="preserve">9:00 AM: Bean Bag Toss Warm-up
10:30 AM: Star Wars Trivia
12:00 PM: Front-Page News + Movie Trivia
1:30 PM: Photo Album Browsing
2:00 PM: 6-choice menu (PM)
4:00 PM: Word Search: Star Wars Day
6:30 PM: Old TV Show Lounge (I Love Lucy / Andy Griffith)</t>
  </si>
  <si>
    <t xml:space="preserve">9:00 AM: Maracas &amp; Music Movement
10:30 AM: Mexico &amp; Cinco de Mayo Trivia
12:00 PM: Cinco de Mayo Word Search (Spanish-English)
1:30 PM: Pet Therapy Visit
2:00 PM: 6-choice menu (PM)
4:00 PM: Word Search: Cinco de Mayo
6:30 PM: Lawrence Welk + Chamomile Tea</t>
  </si>
  <si>
    <t xml:space="preserve">9:00 AM: Slow Stretch + Hand Massage
10:30 AM: Famous Nurses Trivia
12:00 PM: Newspaper + 'Things My Mom/Nurse Said' Reminiscence
1:30 PM: Aromatherapy with Lavender
2:00 PM: 6-choice menu (PM)
4:00 PM: Word Search: Nurses Day
6:30 PM: Soft Music + Hand Lotion Round</t>
  </si>
  <si>
    <t xml:space="preserve">9:00 AM: Walking Circle (Hallway Loop)
10:30 AM: Greek &amp; Mediterranean Trivia
12:00 PM: Garden Section + Flower Crossword (Easy)
1:30 PM: Greek Mythology Story Hour
2:00 PM: 6-choice menu (PM)
4:00 PM: Word Search: Garden Crossword Words
6:30 PM: Hymn Sing &amp; Comfort Time</t>
  </si>
  <si>
    <t xml:space="preserve">9:00 AM: Big Band Seated Dance
10:30 AM: WWII &amp; V-E Day Trivia
12:00 PM: V-E Day History Read + 1940s Word Search
1:30 PM: V-E Day Memory Hour
2:00 PM: 6-choice menu (PM)
4:00 PM: Word Search: V-E Day 1945
6:30 PM: Old TV Show Lounge (I Love Lucy / Andy Griffith)</t>
  </si>
  <si>
    <t xml:space="preserve">9:00 AM: Train Whistle Warm-up
10:30 AM: Trains &amp; Travel Trivia
12:00 PM: Travel Section + Train Trivia
1:30 PM: Music Listening Hour
2:00 PM: 6-choice menu (PM)
4:00 PM: Word Search: National Train Day
6:30 PM: Lawrence Welk + Chamomile Tea</t>
  </si>
  <si>
    <t xml:space="preserve">9:00 AM: Mother's Day Gentle Stretch
10:30 AM: Famous Mothers Trivia
12:00 PM: Sunday Paper + 'Mom's Wisdom' Word List
1:30 PM: Mother's Day Memory Hour
2:00 PM: 6-choice menu (PM)
4:00 PM: Word Search: Mother's Day
6:30 PM: Mother's Day Quiet Music Hour</t>
  </si>
  <si>
    <t xml:space="preserve">11  National Eat What You Want Day</t>
  </si>
  <si>
    <t xml:space="preserve">12  International Nurses Day &amp; National Limerick Day</t>
  </si>
  <si>
    <t xml:space="preserve">13  National Apple Pie Day &amp; National Frog Jumping Day</t>
  </si>
  <si>
    <t xml:space="preserve">14  National Buttermilk Biscuit Day</t>
  </si>
  <si>
    <t xml:space="preserve">15  National Chocolate Chip Day</t>
  </si>
  <si>
    <t xml:space="preserve">16  Armed Forces Day (3rd Saturday) &amp; National BBQ Day</t>
  </si>
  <si>
    <t xml:space="preserve">17  National Walnut Day</t>
  </si>
  <si>
    <t xml:space="preserve">9:00 AM: Balance Practice with Aide Support
10:30 AM: Food Favorites Trivia
12:00 PM: Food Section + 'Eat What You Want' Vote
1:30 PM: Pet Therapy Visit
2:00 PM: 6-choice menu (PM)
4:00 PM: Word Search: Eat What You Want
6:30 PM: Hymn Sing &amp; Comfort Time</t>
  </si>
  <si>
    <t xml:space="preserve">9:00 AM: Tai Chi (Seated, Very Slow)
10:30 AM: Limericks &amp; Wordplay Trivia
12:00 PM: Limerick Day Special
1:30 PM: Hand Massage + Soft Music
2:00 PM: 6-choice menu (PM)
4:00 PM: Limerick Composing Workshop
6:30 PM: Old TV Show Lounge (I Love Lucy / Andy Griffith)</t>
  </si>
  <si>
    <t xml:space="preserve">9:00 AM: Apple Pie Energizer
10:30 AM: Apple Pie Trivia
12:00 PM: Food Section + Apple Pie Recipe Read-Aloud
1:30 PM: Hand Massage with Lotion
2:00 PM: 6-choice menu (PM)
4:00 PM: Word Search: Apple Pie &amp; Frogs
6:30 PM: Lawrence Welk + Chamomile Tea</t>
  </si>
  <si>
    <t xml:space="preserve">9:00 AM: Country Music Movement: 'Biscuit Stretch'
10:30 AM: Southern Cooking Trivia
12:00 PM: Food Section + Biscuit Recipe Reminiscence
1:30 PM: Sensory Bin Time
2:00 PM: 6-choice menu (PM)
4:00 PM: Word Search: Buttermilk Biscuit
6:30 PM: Biscuit + Tea Wind-Down</t>
  </si>
  <si>
    <t xml:space="preserve">9:00 AM: Chair Yoga: Shoulders &amp; Neck
10:30 AM: Cookies &amp; Sweets Trivia
12:00 PM: Newspaper + Chocolate Chip Cookie History
1:30 PM: Music Listening Hour
2:00 PM: 6-choice menu (PM)
4:00 PM: Word Search: Chocolate Chip
6:30 PM: Hymn Sing &amp; Comfort Time</t>
  </si>
  <si>
    <t xml:space="preserve">9:00 AM: Patriotic Marching Music
10:30 AM: Armed Forces Trivia
12:00 PM: Newspaper + Military Branches Word Match
1:30 PM: Veterans Photo Reminiscence
2:00 PM: 6-choice menu (PM)
4:00 PM: Word Search: Armed Forces Day
6:30 PM: USO Musical Hour</t>
  </si>
  <si>
    <t xml:space="preserve">9:00 AM: Sunday Calm Stretch + Hymns
10:30 AM: Walnut &amp; Trees Trivia
12:00 PM: Sunday Comics + Walnut Trivia
1:30 PM: Walnut Bread + Quiet Hour
2:00 PM: 6-choice menu (PM)
4:00 PM: Word Search: Walnut Day
6:30 PM: Lawrence Welk + Chamomile Tea</t>
  </si>
  <si>
    <t xml:space="preserve">18  International Museum Day</t>
  </si>
  <si>
    <t xml:space="preserve">19  National Devil's Food Cake Day</t>
  </si>
  <si>
    <t xml:space="preserve">20  National Pick Strawberries Day</t>
  </si>
  <si>
    <t xml:space="preserve">21  🇮🇹 TRAVEL DAY: Italy</t>
  </si>
  <si>
    <t xml:space="preserve">22  National Maritime Day &amp; National Vanilla Pudding Day</t>
  </si>
  <si>
    <t xml:space="preserve">23  National Lucky Penny Day &amp; World Turtle Day</t>
  </si>
  <si>
    <t xml:space="preserve">24  National Scavenger Hunt Day</t>
  </si>
  <si>
    <t xml:space="preserve">9:00 AM: Hallway Walk + Art Stops
10:30 AM: Famous Museums Trivia
12:00 PM: Newspaper + Art Trivia
1:30 PM: Aromatherapy with Lavender
2:00 PM: 6-choice menu (PM)
4:00 PM: Word Search: Museum Day
6:30 PM: Soft Music + Hand Lotion Round</t>
  </si>
  <si>
    <t xml:space="preserve">9:00 AM: Resistance Band: Light Arms Only
10:30 AM: Cake &amp; Chocolate Trivia
12:00 PM: Food Section + Devil's Food Cake History
1:30 PM: Hand Massage with Lotion
2:00 PM: 6-choice menu (PM)
4:00 PM: Word Search: Devil's Food Cake
6:30 PM: Hymn Sing &amp; Comfort Time</t>
  </si>
  <si>
    <t xml:space="preserve">9:00 AM: Strawberry Picking Pretend
10:30 AM: Strawberry &amp; Berry Trivia
12:00 PM: Newspaper + Strawberry Recipe Read
1:30 PM: Sensory Bin Time
2:00 PM: 6-choice menu (PM)
4:00 PM: Word Search: Strawberry Picking
6:30 PM: Strawberry Sundae Wind-Down</t>
  </si>
  <si>
    <t xml:space="preserve">9:00 AM: Italian Stretch &amp; Opera
10:30 AM: ITALY TRAVEL DAY Trivia
12:00 PM: Headlines + Italian Travel Section
1:30 PM: 🇮🇹 Italian Music &amp; Espresso
2:00 PM: 6-choice menu (PM)
4:00 PM: 🇮🇹 Italian Word Find
6:30 PM: 🇮🇹 Italian Cinema Night: 'Life Is Beautiful' (1997)</t>
  </si>
  <si>
    <t xml:space="preserve">9:00 AM: Maritime Sing-Along Movement
10:30 AM: Maritime &amp; Sailing Trivia
12:00 PM: Newspaper + Maritime Day Word Search
1:30 PM: Photo Album Browsing
2:00 PM: 6-choice menu (PM)
4:00 PM: Word Search: Maritime Day
6:30 PM: Soft Music + Hand Lotion Round</t>
  </si>
  <si>
    <t xml:space="preserve">9:00 AM: Walking Loop + Lucky Penny Hunt
10:30 AM: Lucky Penny &amp; Turtles Trivia
12:00 PM: Newspaper + Penny Trivia
1:30 PM: Pet Therapy Visit
2:00 PM: 6-choice menu (PM)
4:00 PM: Word Search: Lucky Penny / Turtle
6:30 PM: Hymn Sing &amp; Comfort Time</t>
  </si>
  <si>
    <t xml:space="preserve">9:00 AM: Sunday Calm Stretch + Quiet Time
10:30 AM: Scavenger &amp; Discovery Trivia
12:00 PM: Sunday Paper + Scavenger Hunt Word List
1:30 PM: Sunday Reflection Hour
2:00 PM: 6-choice menu (PM)
4:00 PM: Word Search: Scavenger Hunt
6:30 PM: Old TV Show Lounge (I Love Lucy / Andy Griffith)</t>
  </si>
  <si>
    <t xml:space="preserve">25  MEMORIAL DAY &amp; National Wine Day</t>
  </si>
  <si>
    <t xml:space="preserve">26  National Blueberry Cheesecake Day &amp; National Paper Airplane Day</t>
  </si>
  <si>
    <t xml:space="preserve">27  National Grape Popsicle Day &amp; Sun Screen Day</t>
  </si>
  <si>
    <t xml:space="preserve">28  National Hamburger Day &amp; Senior Health &amp; Fitness Day</t>
  </si>
  <si>
    <t xml:space="preserve">29  JFK's Birthday &amp; National Coq au Vin Day</t>
  </si>
  <si>
    <t xml:space="preserve">30  National Mint Julep Day</t>
  </si>
  <si>
    <t xml:space="preserve">31  National Macaroon Day</t>
  </si>
  <si>
    <t xml:space="preserve">9:00 AM: Patriotic Movement + Hand on Heart
10:30 AM: Memorial Day Trivia
12:00 PM: Newspaper + Memorial Day Reading
1:30 PM: Veterans Reflection Hour
2:00 PM: 6-choice menu (PM)
4:00 PM: Memorial Day Word Find
6:30 PM: Memorial Day Music Reflection</t>
  </si>
  <si>
    <t xml:space="preserve">9:00 AM: Easy Full Body Stretch
10:30 AM: Blueberry &amp; Paper Airplane Trivia
12:00 PM: Newspaper + Paper Airplane Folding
1:30 PM: Sensory Bin Time
2:00 PM: 6-choice menu (PM)
4:00 PM: Word Search: Paper Airplane / Cake
6:30 PM: Soft Music + Hand Lotion Round</t>
  </si>
  <si>
    <t xml:space="preserve">9:00 AM: Gentle Sun Salutation (Seated)
10:30 AM: Sun &amp; Summer Trivia
12:00 PM: Newspaper + Sun &amp; Skin Care Tips
1:30 PM: Music Listening Hour
2:00 PM: 6-choice menu (PM)
4:00 PM: Word Search: Sun &amp; Sun Screen
6:30 PM: Hymn Sing &amp; Comfort Time</t>
  </si>
  <si>
    <t xml:space="preserve">9:00 AM: Health Fair Warm-Up
10:30 AM: Hamburger &amp; Burger Trivia
12:00 PM: Newspaper + Health Tips Trivia
1:30 PM: Photo Album Browsing
2:00 PM: 6-choice menu (PM)
4:00 PM: Word Search: Hamburger Day
6:30 PM: Old TV Show Lounge (I Love Lucy / Andy Griffith)</t>
  </si>
  <si>
    <t xml:space="preserve">9:00 AM: Camelot Era Seated Dance
10:30 AM: 1960s &amp; JFK Trivia
12:00 PM: Newspaper + JFK Reminiscence Word List
1:30 PM: Pet Therapy Visit
2:00 PM: 6-choice menu (PM)
4:00 PM: Word Search: 60s Decade
6:30 PM: Lawrence Welk + Chamomile Tea</t>
  </si>
  <si>
    <t xml:space="preserve">9:00 AM: Country Movement Saturday
10:30 AM: Mint Julep &amp; Drinks Trivia
12:00 PM: Newspaper + Mint Julep Recipe Read
1:30 PM: Aromatherapy with Lavender
2:00 PM: 6-choice menu (PM)
4:00 PM: Word Search: Mint Julep / Derby Closing
6:30 PM: Soft Music + Hand Lotion Round</t>
  </si>
  <si>
    <t xml:space="preserve">9:00 AM: Closing Stretch + Thank You Circle
10:30 AM: May in Review Trivia
12:00 PM: Sunday Comics + 'Goodbye May' Word List
1:30 PM: May in Review Slideshow
2:00 PM: 6-choice menu (PM)
4:00 PM: Word Search: Macaroon &amp; May Closing
6:30 PM: May Closing Music Hour</t>
  </si>
  <si>
    <t xml:space="preserve">GOLD = Major Holiday  |  LIGHT GOLD = Bonus Event Day  |  ORANGE = TRAVEL DAY (May 21 - Italy)  |  LIGHT BLUE = Weekend  |  Times shown are defaults - can be adjusted.</t>
  </si>
  <si>
    <t xml:space="preserve">MAY 2026  -  ASSISTED LIVING</t>
  </si>
  <si>
    <t xml:space="preserve">9:00 AM: Chair Yoga: Spring Awakening
10:30 AM: 'Welcome to May' Trivia
12:00 PM: 'Welcome to May' Word Search
1:30 PM: Quiet Reading Hour
2:00 PM: 6-choice menu (PM)
4:00 PM: Word Search: May Day &amp; Spring
6:30 PM: 'Driving Miss Daisy' (1989) - Wind Down</t>
  </si>
  <si>
    <t xml:space="preserve">9:00 AM: Derby Day Warm-Up
10:30 AM: Kentucky Derby Trivia
12:00 PM: Sports Headlines + Famous Horses Trivia
1:30 PM: Derby Day Reading
2:00 PM: 6-choice menu (PM)
4:00 PM: Word Search: Kentucky Derby
6:30 PM: Kentucky Derby Watch Party (live TV) - Wind Down</t>
  </si>
  <si>
    <t xml:space="preserve">9:00 AM: Sunday Stretch &amp; Hymn Hour
10:30 AM: Garden &amp; Plants Trivia
12:00 PM: Sunday Comics Read-Aloud + Garden Word List
1:30 PM: Sunday Hymn Listening
2:00 PM: 6-choice menu (PM)
4:00 PM: Word Search: Garden Meditation
6:30 PM: Sing-Along Hour</t>
  </si>
  <si>
    <t xml:space="preserve">9:00 AM: Star Wars 'Jedi Training' Stretch
10:30 AM: Star Wars Trivia
12:00 PM: Front-Page News + Movie Trivia
1:30 PM: Coloring &amp; Tea
2:00 PM: 6-choice menu (PM)
4:00 PM: Word Search: Star Wars Day
6:30 PM: Movie + Popcorn</t>
  </si>
  <si>
    <t xml:space="preserve">9:00 AM: Salsa Dance Movement (Seated)
10:30 AM: Mexico &amp; Cinco de Mayo Trivia
12:00 PM: Cinco de Mayo Word Search (Spanish-English)
1:30 PM: Birdwatching Hour
2:00 PM: 6-choice menu (PM)
4:00 PM: Word Search: Cinco de Mayo
6:30 PM: Music &amp; Conversation Lounge</t>
  </si>
  <si>
    <t xml:space="preserve">9:00 AM: Resistance Band Workout: Strong Like a Nurse
10:30 AM: Famous Nurses Trivia
12:00 PM: Newspaper + 'Things My Mom/Nurse Said' Reminiscence
1:30 PM: Letter Writing Hour
2:00 PM: 6-choice menu (PM)
4:00 PM: Word Search: Nurses Day
6:30 PM: Game Lounge: Cards &amp; Conversation</t>
  </si>
  <si>
    <t xml:space="preserve">9:00 AM: Walking Club: Indoor Lap or Garden Stroll
10:30 AM: Greek &amp; Mediterranean Trivia
12:00 PM: Garden Section + Flower Crossword (Easy)
1:30 PM: Greek Mythology Story Hour
2:00 PM: 6-choice menu (PM)
4:00 PM: Word Search: Garden Crossword Words
6:30 PM: 'On Golden Pond' (1981) - Wind Down</t>
  </si>
  <si>
    <t xml:space="preserve">9:00 AM: Dance Movement: Big Band Era
10:30 AM: WWII &amp; V-E Day Trivia
12:00 PM: V-E Day History Read + 1940s Word Search
1:30 PM: V-E Day Memory Hour
2:00 PM: 6-choice menu (PM)
4:00 PM: Word Search: V-E Day 1945
6:30 PM: Mother's Day Tea wind-down with soft music - Wind Down</t>
  </si>
  <si>
    <t xml:space="preserve">9:00 AM: Marching Band Movement
10:30 AM: Trains &amp; Travel Trivia
12:00 PM: Travel Section + Train Trivia
1:30 PM: Card Lounge: Solo or Pairs
2:00 PM: 6-choice menu (PM)
4:00 PM: Word Search: National Train Day
6:30 PM: Music &amp; Conversation Lounge</t>
  </si>
  <si>
    <t xml:space="preserve">9:00 AM: Sunday Gentle Stretch + Mom's Favorite Songs
10:30 AM: Famous Mothers Trivia
12:00 PM: Sunday Paper + 'Mom's Wisdom' Word List
1:30 PM: Mother's Day Memory Hour
2:00 PM: 6-choice menu (PM)
4:00 PM: Word Search: Mother's Day
6:30 PM: 'Steel Magnolias' (1989) - Wind Down</t>
  </si>
  <si>
    <t xml:space="preserve">9:00 AM: Standing/Seated Balance Practice
10:30 AM: Food Favorites Trivia
12:00 PM: Food Section + 'Eat What You Want' Vote
1:30 PM: Birdwatching Hour
2:00 PM: 6-choice menu (PM)
4:00 PM: Word Search: Eat What You Want
6:30 PM: Sing-Along Hour</t>
  </si>
  <si>
    <t xml:space="preserve">9:00 AM: Tai Chi Basics (Seated)
10:30 AM: Limericks &amp; Wordplay Trivia
12:00 PM: Limerick Day Special
1:30 PM: Hand Massage + Soft Music
2:00 PM: 6-choice menu (PM)
4:00 PM: Limerick Composing Workshop
6:30 PM: Movie + Popcorn</t>
  </si>
  <si>
    <t xml:space="preserve">9:00 AM: Apple Pie Energizer
10:30 AM: Apple Pie Trivia
12:00 PM: Food Section + Apple Pie Recipe Read-Aloud
1:30 PM: Quiet Reading Hour
2:00 PM: 6-choice menu (PM)
4:00 PM: Word Search: Apple Pie &amp; Frogs
6:30 PM: Music &amp; Conversation Lounge</t>
  </si>
  <si>
    <t xml:space="preserve">9:00 AM: Country Music Movement: 'Biscuit Stretch'
10:30 AM: Southern Cooking Trivia
12:00 PM: Food Section + Biscuit Recipe Reminiscence
1:30 PM: Magazine Page-Through
2:00 PM: 6-choice menu (PM)
4:00 PM: Word Search: Buttermilk Biscuit
6:30 PM: Biscuit + Tea Wind-Down</t>
  </si>
  <si>
    <t xml:space="preserve">9:00 AM: Chair Yoga: Shoulder &amp; Neck Relief
10:30 AM: Cookies &amp; Sweets Trivia
12:00 PM: Newspaper + Chocolate Chip Cookie History
1:30 PM: Card Lounge: Solo or Pairs
2:00 PM: 6-choice menu (PM)
4:00 PM: Word Search: Chocolate Chip
6:30 PM: Sing-Along Hour</t>
  </si>
  <si>
    <t xml:space="preserve">9:00 AM: Patriotic Marching Movement
10:30 AM: Armed Forces Trivia
12:00 PM: Newspaper + Military Branches Word Match
1:30 PM: Veterans Photo Reminiscence
2:00 PM: 6-choice menu (PM)
4:00 PM: Word Search: Armed Forces Day
6:30 PM: 'The Best Years of Our Lives' (1946) Pt 1 - Wind Down</t>
  </si>
  <si>
    <t xml:space="preserve">9:00 AM: Sunday Stretch with Soft Hymns
10:30 AM: Walnut &amp; Trees Trivia
12:00 PM: Sunday Comics + Walnut Trivia
1:30 PM: Walnut Bread + Quiet Hour
2:00 PM: 6-choice menu (PM)
4:00 PM: Word Search: Walnut Day
6:30 PM: Music &amp; Conversation Lounge</t>
  </si>
  <si>
    <t xml:space="preserve">9:00 AM: Walking Club: Museum Walk
10:30 AM: Famous Museums Trivia
12:00 PM: Newspaper + Art Trivia
1:30 PM: Letter Writing Hour
2:00 PM: 6-choice menu (PM)
4:00 PM: Word Search: Museum Day
6:30 PM: Game Lounge: Cards &amp; Conversation</t>
  </si>
  <si>
    <t xml:space="preserve">9:00 AM: Resistance Band: Lower Body Focus
10:30 AM: Cake &amp; Chocolate Trivia
12:00 PM: Food Section + Devil's Food Cake History
1:30 PM: Quiet Reading Hour
2:00 PM: 6-choice menu (PM)
4:00 PM: Word Search: Devil's Food Cake
6:30 PM: Sing-Along Hour</t>
  </si>
  <si>
    <t xml:space="preserve">9:00 AM: Strawberry Picking Movement
10:30 AM: Strawberry &amp; Berry Trivia
12:00 PM: Newspaper + Strawberry Recipe Read
1:30 PM: Magazine Page-Through
2:00 PM: 6-choice menu (PM)
4:00 PM: Word Search: Strawberry Picking
6:30 PM: Strawberry Sundae Wind-Down</t>
  </si>
  <si>
    <t xml:space="preserve">9:00 AM: Dance Movement: Big Band &amp; Maritime Songs
10:30 AM: Maritime &amp; Sailing Trivia
12:00 PM: Newspaper + Maritime Day Word Search
1:30 PM: Coloring &amp; Tea
2:00 PM: 6-choice menu (PM)
4:00 PM: Word Search: Maritime Day
6:30 PM: Game Lounge: Cards &amp; Conversation</t>
  </si>
  <si>
    <t xml:space="preserve">9:00 AM: Walking Club: Garden + Penny Pickup
10:30 AM: Lucky Penny &amp; Turtles Trivia
12:00 PM: Newspaper + Penny Trivia
1:30 PM: Birdwatching Hour
2:00 PM: 6-choice menu (PM)
4:00 PM: Word Search: Lucky Penny / Turtle
6:30 PM: Sing-Along Hour</t>
  </si>
  <si>
    <t xml:space="preserve">9:00 AM: Sunday Stretch + Quiet Reflection
10:30 AM: Scavenger &amp; Discovery Trivia
12:00 PM: Sunday Paper + Scavenger Hunt Word List
1:30 PM: Sunday Reflection Hour
2:00 PM: 6-choice menu (PM)
4:00 PM: Word Search: Scavenger Hunt
6:30 PM: Movie + Popcorn</t>
  </si>
  <si>
    <t xml:space="preserve">9:00 AM: Patriotic Movement Hour
10:30 AM: Memorial Day Trivia
12:00 PM: Newspaper + Memorial Day Reading
1:30 PM: Veterans Reflection Hour
2:00 PM: 6-choice menu (PM)
4:00 PM: Memorial Day Word Find
6:30 PM: 'The Notebook' (2004) - Memorial Day evening - Wind Down</t>
  </si>
  <si>
    <t xml:space="preserve">9:00 AM: Resistance Band: Full Body Quick Routine
10:30 AM: Blueberry &amp; Paper Airplane Trivia
12:00 PM: Newspaper + Paper Airplane Folding
1:30 PM: Magazine Page-Through
2:00 PM: 6-choice menu (PM)
4:00 PM: Word Search: Paper Airplane / Cake
6:30 PM: Game Lounge: Cards &amp; Conversation</t>
  </si>
  <si>
    <t xml:space="preserve">9:00 AM: Chair Yoga: Sun Salutation Adaptation
10:30 AM: Sun &amp; Summer Trivia
12:00 PM: Newspaper + Sun &amp; Skin Care Tips
1:30 PM: Card Lounge: Solo or Pairs
2:00 PM: 6-choice menu (PM)
4:00 PM: Word Search: Sun &amp; Sun Screen
6:30 PM: Sing-Along Hour</t>
  </si>
  <si>
    <t xml:space="preserve">9:00 AM: Senior Health &amp; Fitness Fair Warm-Up
10:30 AM: Hamburger &amp; Burger Trivia
12:00 PM: Newspaper + Health Tips Trivia
1:30 PM: Coloring &amp; Tea
2:00 PM: 6-choice menu (PM)
4:00 PM: Word Search: Hamburger Day
6:30 PM: Movie + Popcorn</t>
  </si>
  <si>
    <t xml:space="preserve">9:00 AM: Dance Movement: Camelot Era
10:30 AM: 1960s &amp; JFK Trivia
12:00 PM: Newspaper + JFK Reminiscence Word List
1:30 PM: Birdwatching Hour
2:00 PM: 6-choice menu (PM)
4:00 PM: Word Search: 60s Decade
6:30 PM: 'Hidden Figures' (2016) - Wind Down</t>
  </si>
  <si>
    <t xml:space="preserve">9:00 AM: Saturday Morning Country Movement
10:30 AM: Mint Julep &amp; Drinks Trivia
12:00 PM: Newspaper + Mint Julep Recipe Read
1:30 PM: Letter Writing Hour
2:00 PM: 6-choice menu (PM)
4:00 PM: Word Search: Mint Julep / Derby Closing
6:30 PM: Game Lounge: Cards &amp; Conversation</t>
  </si>
  <si>
    <t xml:space="preserve">9:00 AM: Sunday Closing Stretch
10:30 AM: May in Review Trivia
12:00 PM: Sunday Comics + 'Goodbye May' Word List
1:30 PM: May in Review Slideshow
2:00 PM: 6-choice menu (PM)
4:00 PM: Word Search: Macaroon &amp; May Closing
6:30 PM: Sing-Along Hour</t>
  </si>
  <si>
    <t xml:space="preserve">MAY 2026  -  INDEPENDENT</t>
  </si>
  <si>
    <t xml:space="preserve">9:00 AM: Walking Club + Yoga (Choice)
10:30 AM: 'Welcome to May' Trivia
12:00 PM: 'Welcome to May' Word Search
1:30 PM: Book Club Quiet Reading
2:00 PM: 6-choice menu (PM)
4:00 PM: Word Search: May Day &amp; Spring
6:30 PM: Movie Night: 'Driving Miss Daisy' (1989)</t>
  </si>
  <si>
    <t xml:space="preserve">9:00 AM: Resistance Band Strength Class
10:30 AM: Kentucky Derby Trivia
12:00 PM: Sports Headlines + Famous Horses Trivia
1:30 PM: Derby Day Reading
2:00 PM: 6-choice menu (PM)
4:00 PM: Word Search: Kentucky Derby
6:30 PM: Kentucky Derby Watch Party (full TV broadcast 6-8 PM)</t>
  </si>
  <si>
    <t xml:space="preserve">9:00 AM: Sunday Stretch + Walk
10:30 AM: Garden &amp; Plants Trivia
12:00 PM: Sunday Comics Read-Aloud + Garden Word List
1:30 PM: Sunday Hymn Listening
2:00 PM: 6-choice menu (PM)
4:00 PM: Word Search: Garden Meditation
6:30 PM: Live Music Night</t>
  </si>
  <si>
    <t xml:space="preserve">9:00 AM: Cardio Dance: Star Wars Theme
10:30 AM: Star Wars Trivia
12:00 PM: Front-Page News + Movie Trivia
1:30 PM: Genealogy / Memoir Hour
2:00 PM: 6-choice menu (PM)
4:00 PM: Word Search: Star Wars Day
6:30 PM: Cards &amp; Cocktails</t>
  </si>
  <si>
    <t xml:space="preserve">9:00 AM: Salsa Cardio Class
10:30 AM: Mexico &amp; Cinco de Mayo Trivia
12:00 PM: Cinco de Mayo Word Search (Spanish-English)
1:30 PM: Crossword &amp; Sudoku Cafe
2:00 PM: 6-choice menu (PM)
4:00 PM: Word Search: Cinco de Mayo
6:30 PM: Wine &amp; Cheese Salon</t>
  </si>
  <si>
    <t xml:space="preserve">9:00 AM: Strength + Stretch Combination
10:30 AM: Famous Nurses Trivia
12:00 PM: Newspaper + 'Things My Mom/Nurse Said' Reminiscence
1:30 PM: Bridge or Pinochle Lessons
2:00 PM: 6-choice menu (PM)
4:00 PM: Word Search: Nurses Day
6:30 PM: Movie Night with Discussion</t>
  </si>
  <si>
    <t xml:space="preserve">9:00 AM: 3-Mile Walking Club
10:30 AM: Greek &amp; Mediterranean Trivia
12:00 PM: Garden Section + Flower Crossword (Easy)
1:30 PM: Greek Mythology Story Hour
2:00 PM: 6-choice menu (PM)
4:00 PM: Word Search: Garden Crossword Words
6:30 PM: Movie Night: 'On Golden Pond' (1981)</t>
  </si>
  <si>
    <t xml:space="preserve">9:00 AM: Big Band Cardio Dance
10:30 AM: WWII &amp; V-E Day Trivia
12:00 PM: V-E Day History Read + 1940s Word Search
1:30 PM: V-E Day Memory Hour
2:00 PM: 6-choice menu (PM)
4:00 PM: Word Search: V-E Day 1945
6:30 PM: Cards &amp; Cocktails</t>
  </si>
  <si>
    <t xml:space="preserve">9:00 AM: Walking Club + Train-Themed Music
10:30 AM: Trains &amp; Travel Trivia
12:00 PM: Travel Section + Train Trivia
1:30 PM: Independent Puzzle Time
2:00 PM: 6-choice menu (PM)
4:00 PM: Word Search: National Train Day
6:30 PM: Wine &amp; Cheese Salon</t>
  </si>
  <si>
    <t xml:space="preserve">9:00 AM: Sunday Calm Yoga
10:30 AM: Famous Mothers Trivia
12:00 PM: Sunday Paper + 'Mom's Wisdom' Word List
1:30 PM: Mother's Day Memory Hour
2:00 PM: 6-choice menu (PM)
4:00 PM: Word Search: Mother's Day
6:30 PM: Movie Night: 'Steel Magnolias' (1989)</t>
  </si>
  <si>
    <t xml:space="preserve">9:00 AM: Balance &amp; Falls Prevention Class
10:30 AM: Food Favorites Trivia
12:00 PM: Food Section + 'Eat What You Want' Vote
1:30 PM: Crossword &amp; Sudoku Cafe
2:00 PM: 6-choice menu (PM)
4:00 PM: Word Search: Eat What You Want
6:30 PM: Live Music Night</t>
  </si>
  <si>
    <t xml:space="preserve">9:00 AM: Tai Chi Class
10:30 AM: Limericks &amp; Wordplay Trivia
12:00 PM: Limerick Day Special
1:30 PM: Hand Massage + Soft Music
2:00 PM: 6-choice menu (PM)
4:00 PM: Limerick Composing Workshop
6:30 PM: Cards &amp; Cocktails</t>
  </si>
  <si>
    <t xml:space="preserve">9:00 AM: Apple Pie Energizer
10:30 AM: Apple Pie Trivia
12:00 PM: Food Section + Apple Pie Recipe Read-Aloud
1:30 PM: Book Club Quiet Reading
2:00 PM: 6-choice menu (PM)
4:00 PM: Word Search: Apple Pie &amp; Frogs
6:30 PM: Wine &amp; Cheese Salon</t>
  </si>
  <si>
    <t xml:space="preserve">9:00 AM: Country Music Movement: 'Biscuit Stretch'
10:30 AM: Southern Cooking Trivia
12:00 PM: Food Section + Biscuit Recipe Reminiscence
1:30 PM: Newspaper &amp; Discussion
2:00 PM: 6-choice menu (PM)
4:00 PM: Word Search: Buttermilk Biscuit
6:30 PM: Biscuit + Tea Wind-Down</t>
  </si>
  <si>
    <t xml:space="preserve">9:00 AM: Yoga Flow Class
10:30 AM: Cookies &amp; Sweets Trivia
12:00 PM: Newspaper + Chocolate Chip Cookie History
1:30 PM: Independent Puzzle Time
2:00 PM: 6-choice menu (PM)
4:00 PM: Word Search: Chocolate Chip
6:30 PM: Live Music Night</t>
  </si>
  <si>
    <t xml:space="preserve">9:00 AM: Patriotic Walking Club
10:30 AM: Armed Forces Trivia
12:00 PM: Newspaper + Military Branches Word Match
1:30 PM: Veterans Photo Reminiscence
2:00 PM: 6-choice menu (PM)
4:00 PM: Word Search: Armed Forces Day
6:30 PM: Movie Night: 'The Best Years of Our Lives' (1946) Pt 1</t>
  </si>
  <si>
    <t xml:space="preserve">9:00 AM: Sunday Stretch or Hike
10:30 AM: Walnut &amp; Trees Trivia
12:00 PM: Sunday Comics + Walnut Trivia
1:30 PM: Walnut Bread + Quiet Hour
2:00 PM: 6-choice menu (PM)
4:00 PM: Word Search: Walnut Day
6:30 PM: Wine &amp; Cheese Salon</t>
  </si>
  <si>
    <t xml:space="preserve">9:00 AM: Walking Tour: Local Art Walk
10:30 AM: Famous Museums Trivia
12:00 PM: Newspaper + Art Trivia
1:30 PM: Bridge or Pinochle Lessons
2:00 PM: 6-choice menu (PM)
4:00 PM: Word Search: Museum Day
6:30 PM: Movie Night with Discussion</t>
  </si>
  <si>
    <t xml:space="preserve">9:00 AM: Resistance Band: Lower Body
10:30 AM: Cake &amp; Chocolate Trivia
12:00 PM: Food Section + Devil's Food Cake History
1:30 PM: Book Club Quiet Reading
2:00 PM: 6-choice menu (PM)
4:00 PM: Word Search: Devil's Food Cake
6:30 PM: Live Music Night</t>
  </si>
  <si>
    <t xml:space="preserve">9:00 AM: Strawberry Field Trip Walk
10:30 AM: Strawberry &amp; Berry Trivia
12:00 PM: Newspaper + Strawberry Recipe Read
1:30 PM: Newspaper &amp; Discussion
2:00 PM: 6-choice menu (PM)
4:00 PM: Word Search: Strawberry Picking
6:30 PM: Strawberry Sundae Wind-Down</t>
  </si>
  <si>
    <t xml:space="preserve">9:00 AM: Big Band + Maritime Cardio
10:30 AM: Maritime &amp; Sailing Trivia
12:00 PM: Newspaper + Maritime Day Word Search
1:30 PM: Genealogy / Memoir Hour
2:00 PM: 6-choice menu (PM)
4:00 PM: Word Search: Maritime Day
6:30 PM: Movie Night with Discussion</t>
  </si>
  <si>
    <t xml:space="preserve">9:00 AM: Walking Club + Penny Hunt
10:30 AM: Lucky Penny &amp; Turtles Trivia
12:00 PM: Newspaper + Penny Trivia
1:30 PM: Crossword &amp; Sudoku Cafe
2:00 PM: 6-choice menu (PM)
4:00 PM: Word Search: Lucky Penny / Turtle
6:30 PM: Live Music Night</t>
  </si>
  <si>
    <t xml:space="preserve">9:00 AM: Sunday Walk or Stretch
10:30 AM: Scavenger &amp; Discovery Trivia
12:00 PM: Sunday Paper + Scavenger Hunt Word List
1:30 PM: Sunday Reflection Hour
2:00 PM: 6-choice menu (PM)
4:00 PM: Word Search: Scavenger Hunt
6:30 PM: Cards &amp; Cocktails</t>
  </si>
  <si>
    <t xml:space="preserve">9:00 AM: Memorial Day Walking Ceremony
10:30 AM: Memorial Day Trivia
12:00 PM: Newspaper + Memorial Day Reading
1:30 PM: Veterans Reflection Hour
2:00 PM: 6-choice menu (PM)
4:00 PM: Memorial Day Word Find
6:30 PM: Movie Night: 'The Notebook' (2004) - Memorial Day</t>
  </si>
  <si>
    <t xml:space="preserve">9:00 AM: Quick Full Body Class
10:30 AM: Blueberry &amp; Paper Airplane Trivia
12:00 PM: Newspaper + Paper Airplane Folding
1:30 PM: Newspaper &amp; Discussion
2:00 PM: 6-choice menu (PM)
4:00 PM: Word Search: Paper Airplane / Cake
6:30 PM: Movie Night with Discussion</t>
  </si>
  <si>
    <t xml:space="preserve">9:00 AM: Yoga Sun Salutation Series
10:30 AM: Sun &amp; Summer Trivia
12:00 PM: Newspaper + Sun &amp; Skin Care Tips
1:30 PM: Independent Puzzle Time
2:00 PM: 6-choice menu (PM)
4:00 PM: Word Search: Sun &amp; Sun Screen
6:30 PM: Live Music Night</t>
  </si>
  <si>
    <t xml:space="preserve">9:00 AM: Senior Health &amp; Fitness Day Workout
10:30 AM: Hamburger &amp; Burger Trivia
12:00 PM: Newspaper + Health Tips Trivia
1:30 PM: Genealogy / Memoir Hour
2:00 PM: 6-choice menu (PM)
4:00 PM: Word Search: Hamburger Day
6:30 PM: Cards &amp; Cocktails</t>
  </si>
  <si>
    <t xml:space="preserve">9:00 AM: Camelot Era Dance Class
10:30 AM: 1960s &amp; JFK Trivia
12:00 PM: Newspaper + JFK Reminiscence Word List
1:30 PM: Crossword &amp; Sudoku Cafe
2:00 PM: 6-choice menu (PM)
4:00 PM: Word Search: 60s Decade
6:30 PM: Movie Night: 'Hidden Figures' (2016)</t>
  </si>
  <si>
    <t xml:space="preserve">9:00 AM: Saturday Outdoor Walk
10:30 AM: Mint Julep &amp; Drinks Trivia
12:00 PM: Newspaper + Mint Julep Recipe Read
1:30 PM: Bridge or Pinochle Lessons
2:00 PM: 6-choice menu (PM)
4:00 PM: Word Search: Mint Julep / Derby Closing
6:30 PM: Movie Night with Discussion</t>
  </si>
  <si>
    <t xml:space="preserve">9:00 AM: Closing Day Choice Class
10:30 AM: May in Review Trivia
12:00 PM: Sunday Comics + 'Goodbye May' Word List
1:30 PM: May in Review Slideshow
2:00 PM: 6-choice menu (PM)
4:00 PM: Word Search: Macaroon &amp; May Closing
6:30 PM: Movie Night: 'The Sound of Music' (1965)</t>
  </si>
  <si>
    <t xml:space="preserve">Date</t>
  </si>
  <si>
    <t xml:space="preserve">Day</t>
  </si>
  <si>
    <t xml:space="preserve">Holiday/Theme</t>
  </si>
  <si>
    <t xml:space="preserve">Time</t>
  </si>
  <si>
    <t xml:space="preserve">Slot</t>
  </si>
  <si>
    <t xml:space="preserve">Activity Title</t>
  </si>
  <si>
    <t xml:space="preserve">Description / Notes</t>
  </si>
  <si>
    <t xml:space="preserve">May 1</t>
  </si>
  <si>
    <t xml:space="preserve">Friday</t>
  </si>
  <si>
    <t xml:space="preserve">May Day &amp; National Mother Goose Day</t>
  </si>
  <si>
    <t xml:space="preserve">9:00 AM</t>
  </si>
  <si>
    <t xml:space="preserve">🌊 Sunrise Stretch</t>
  </si>
  <si>
    <t xml:space="preserve">Sensory Spring Stretch</t>
  </si>
  <si>
    <t xml:space="preserve">Gentle 20-min seated stretch. Hand a fresh flower or sprig of mint to each resident to hold and smell during breathing. Soft floral music.</t>
  </si>
  <si>
    <t xml:space="preserve">10:30 AM</t>
  </si>
  <si>
    <t xml:space="preserve">🧠 Trivia Tides</t>
  </si>
  <si>
    <t xml:space="preserve">'Welcome to May' Trivia</t>
  </si>
  <si>
    <t xml:space="preserve">5 light questions to open the month. (1) What flower symbolizes May Day? (Lily of the valley) (2) What dance tradition uses ribbons around a tall pole? (Maypole) (3) Mother Goose Day is May 1 - name a Mother Goose rhyme. (Many: Hey Diddle Diddle, etc.) (4) What sport's biggest race is the first Saturday of May? (Horse racing - Derby) (5) What flower has the most variety in May? (Tulips, roses, irises - all valid). MC: ask one question at a time, give multiple-choice. AL/IL: open answer.</t>
  </si>
  <si>
    <t xml:space="preserve">12:00 PM</t>
  </si>
  <si>
    <t xml:space="preserve">📰 Headlines at the Helm</t>
  </si>
  <si>
    <t xml:space="preserve">'Welcome to May' Word Search</t>
  </si>
  <si>
    <t xml:space="preserve">Read morning headlines aloud (weather, sports, light human-interest). Distribute the May Day word search (large print on Word Puzzle sheet #1). Words: MAYDAY, FLOWERS, SPRING, BASKET, RIBBON, MAYPOLE, BLOOM, BIRDS, GREEN, WARM. MC: do as a group on a whiteboard with leader pointing.</t>
  </si>
  <si>
    <t xml:space="preserve">1:30 PM</t>
  </si>
  <si>
    <t xml:space="preserve">🌿 Mellow Moorings</t>
  </si>
  <si>
    <t xml:space="preserve">Hand Massage with Lotion</t>
  </si>
  <si>
    <t xml:space="preserve">Aide-led hand massage with scented lotion. Soft music. 25 min. Calming and connecting.</t>
  </si>
  <si>
    <t xml:space="preserve">2:00 PM</t>
  </si>
  <si>
    <t xml:space="preserve">⚓ Anchor's Choice</t>
  </si>
  <si>
    <t xml:space="preserve">Anchor's Choice (6-choice menu)</t>
  </si>
  <si>
    <t xml:space="preserve">🎲 Game: Picture Bingo - Simplified 4x4 Bingo with picture cards (animals, flowers). Aide assists with marker placement. Small treats as prizes.
☕ Social: Reminiscence Circle - Pass familiar objects (rolling pin, dial phone, bonnet) around the circle. Each resident holds and shares any memory it sparks. Coffee and cookies.
🎵 Music: Familiar Songs Sing-Along - Hymns and standards from the 30s-50s ('Amazing Grace,' 'You Are My Sunshine'). Lyrics on large-print sheets. Volunteer pianist if available.
🍰 Food: Cookie &amp; Milk Social - Sugar cookies and warm milk. Simple, comforting. Sit-down with one staff per 4 residents. Conversation prompts about childhood treats.
🎨 Crafts: May Basket Decorating - Decorate paper cones. Fill with flowers and a candy. Hang on neighbors' doors. MC: pre-cut, resident adds final touches.
🌿 Outdoor: Patio Sitting &amp; Birdwatching - Shaded patio. Bird feeders refilled. Soft music. Light snacks and lemonade. Walking residents can do a slow lap.</t>
  </si>
  <si>
    <t xml:space="preserve">4:00 PM</t>
  </si>
  <si>
    <t xml:space="preserve">🔤 Word Waves</t>
  </si>
  <si>
    <t xml:space="preserve">Word Search: May Day &amp; Spring</t>
  </si>
  <si>
    <t xml:space="preserve">Today's themed word search (May Day &amp; Spring). Large-print version distributed at every table. Words: MAYDAY, SPRING, FLOWERS, BASKET, RIBBON, BLOOM, BIRDS, GREEN. 25 min. AL/IL: independent. MC: leader does it on a whiteboard with the group, calls out and points.</t>
  </si>
  <si>
    <t xml:space="preserve">6:30 PM</t>
  </si>
  <si>
    <t xml:space="preserve">🌅 Sunset Social</t>
  </si>
  <si>
    <t xml:space="preserve">Lawrence Welk + Chamomile Tea</t>
  </si>
  <si>
    <t xml:space="preserve">Familiar musical TV show or DVD. Tea. Lights low but not off. 45 min.</t>
  </si>
  <si>
    <t xml:space="preserve">May 2</t>
  </si>
  <si>
    <t xml:space="preserve">Saturday</t>
  </si>
  <si>
    <t xml:space="preserve">Kentucky Derby Day (1st Saturday)</t>
  </si>
  <si>
    <t xml:space="preserve">Music &amp; Movement: Marching Songs</t>
  </si>
  <si>
    <t xml:space="preserve">Seated march in place to 'Camptown Races,' 'Old Susanna.' Tap thighs to the beat. 15-20 min.</t>
  </si>
  <si>
    <t xml:space="preserve">Kentucky Derby Trivia</t>
  </si>
  <si>
    <t xml:space="preserve">(1) What flower wraps the Derby winner? (Red roses) (2) How long is the Derby race? (1.25 miles) (3) Name a Triple Crown winner. (Secretariat, Affirmed, American Pharoah, Justify) (4) What state hosts the Derby? (Kentucky) (5) What's the official Derby drink? (Mint julep). MC: focus on visuals - show pictures of horses, hats, roses.</t>
  </si>
  <si>
    <t xml:space="preserve">Sports Headlines + Famous Horses Trivia</t>
  </si>
  <si>
    <t xml:space="preserve">Read the day's sports section, especially Derby coverage. Trivia card: name three Triple Crown winners (Secretariat 1973, Affirmed 1978, American Pharoah 2015, Justify 2018). Group word scramble: HORSESHOE, JOCKEY, DERBY, ROSES, BLANKET.</t>
  </si>
  <si>
    <t xml:space="preserve">Derby Day Reading</t>
  </si>
  <si>
    <t xml:space="preserve">Magazines and books about horses, the Derby, Kentucky. Comfort chairs. Mint lemonade. 30 min.</t>
  </si>
  <si>
    <t xml:space="preserve">🎲 Game: Derby Trivia + Mock Betting - Trivia about famous racehorses. Mock $1 betting slips with poker chips.
☕ Social: Reminiscence Circle - Pass familiar objects (rolling pin, dial phone, bonnet) around the circle. Each resident holds and shares any memory it sparks. Coffee and cookies.
🎵 Music: Familiar Songs Sing-Along - Hymns and standards from the 30s-50s ('Amazing Grace,' 'You Are My Sunshine'). Lyrics on large-print sheets. Volunteer pianist if available.
🍰 Food: Cookie &amp; Milk Social - Sugar cookies and warm milk. Simple, comforting. Sit-down with one staff per 4 residents. Conversation prompts about childhood treats.
🎨 Crafts: Derby Hat Workshop - Decorate paper sun-hats with ribbons, silk flowers, feathers. Photo for bulletin board. MC: aide assists, residents 'judge' style.
🌿 Outdoor: Patio Sitting &amp; Birdwatching - Shaded patio. Bird feeders refilled. Soft music. Light snacks and lemonade. Walking residents can do a slow lap.</t>
  </si>
  <si>
    <t xml:space="preserve">Word Search: Kentucky Derby</t>
  </si>
  <si>
    <t xml:space="preserve">Today's themed word search (Kentucky Derby). Large-print version distributed at every table. Words: DERBY, HORSE, ROSES, JOCKEY, TRACK, RACE, BLANKET, MINT. 25 min. AL/IL: independent. MC: leader does it on a whiteboard with the group, calls out and points.</t>
  </si>
  <si>
    <t xml:space="preserve">Derby Music &amp; Mint Lemonade</t>
  </si>
  <si>
    <t xml:space="preserve">Soft Kentucky music. Mint lemonade. 'My Old Kentucky Home' on loop. 45 min.</t>
  </si>
  <si>
    <t xml:space="preserve">May 3</t>
  </si>
  <si>
    <t xml:space="preserve">Sunday</t>
  </si>
  <si>
    <t xml:space="preserve">National Garden Meditation Day</t>
  </si>
  <si>
    <t xml:space="preserve">Sunday Calm Stretch + Hymn Hour</t>
  </si>
  <si>
    <t xml:space="preserve">Slow, calm seated stretch to gospel music. 20 min. Optional Bible reading.</t>
  </si>
  <si>
    <t xml:space="preserve">Garden &amp; Plants Trivia</t>
  </si>
  <si>
    <t xml:space="preserve">(1) What's the symbol on a Christmas cactus? (Spines) - trick. (2) What plant grows tomatoes? (Tomato plant - vegetable garden). (3) Name 3 herbs starting with B. (Basil, Bay, Borage) (4) What month do tulip bulbs go in? (Fall - October) (5) What's the tallest tree? (Coast redwood). MC: show pictures of the answers.</t>
  </si>
  <si>
    <t xml:space="preserve">Sunday Comics Read-Aloud + Garden Word List</t>
  </si>
  <si>
    <t xml:space="preserve">Read Sunday comics aloud (Family Circus, Peanuts, Garfield). Then the National Garden Meditation Day word list: SOIL, SEED, RAIN, SUN, BLOOM, BUD, ROOT, LEAF, PETAL, GROW. Residents take turns calling out words they associate with each.</t>
  </si>
  <si>
    <t xml:space="preserve">Sunday Hymn Listening</t>
  </si>
  <si>
    <t xml:space="preserve">Soft hymn music, hymnals available. Quiet chairs. Optional chaplain visit. 30 min.</t>
  </si>
  <si>
    <t xml:space="preserve">🎲 Game: Picture Bingo - Simplified 4x4 Bingo with picture cards (animals, flowers). Aide assists with marker placement. Small treats as prizes.
☕ Social: Reminiscence Circle - Pass familiar objects (rolling pin, dial phone, bonnet) around the circle. Each resident holds and shares any memory it sparks. Coffee and cookies.
🎵 Music: Familiar Songs Sing-Along - Hymns and standards from the 30s-50s ('Amazing Grace,' 'You Are My Sunshine'). Lyrics on large-print sheets. Volunteer pianist if available.
🍰 Food: Cookie &amp; Milk Social - Sugar cookies and warm milk. Simple, comforting. Sit-down with one staff per 4 residents. Conversation prompts about childhood treats.
🎨 Crafts: Paint a Pre-Drawn Picture - Pre-printed coloring sheets of flowers/animals. Wide markers and watercolors. Display on the bulletin board.
🌿 Outdoor: Garden Meditation &amp; Plant Potting - Small terra-cotta pots, marigold seedlings. Each resident plants their own. Soft music. Take to room. MC: aide does the actual potting, resident chooses the plant.</t>
  </si>
  <si>
    <t xml:space="preserve">Word Search: Garden Meditation</t>
  </si>
  <si>
    <t xml:space="preserve">Today's themed word search (Garden Meditation). Large-print version distributed at every table. Words: GARDEN, PEACE, QUIET, CALM, FLOWER, SEED, BLOOM, EARTH. 25 min. AL/IL: independent. MC: leader does it on a whiteboard with the group, calls out and points.</t>
  </si>
  <si>
    <t xml:space="preserve">Hymn Sing &amp; Comfort Time</t>
  </si>
  <si>
    <t xml:space="preserve">Soft hymn music. Hymnals or printed lyrics. Tea. Pets if available. 45 min.</t>
  </si>
  <si>
    <t xml:space="preserve">May 4</t>
  </si>
  <si>
    <t xml:space="preserve">Monday</t>
  </si>
  <si>
    <t xml:space="preserve">Star Wars Day - 'May the 4th Be With You'</t>
  </si>
  <si>
    <t xml:space="preserve">Bean Bag Toss Warm-up</t>
  </si>
  <si>
    <t xml:space="preserve">Soft bean bags. Toss into bins from chair. Encourages reaching and tracking. 15-20 min.</t>
  </si>
  <si>
    <t xml:space="preserve">Star Wars Trivia</t>
  </si>
  <si>
    <t xml:space="preserve">(1) What's the response to 'May the 4th be with you'? ('And also with you' or 'And with you') (2) Who is Luke Skywalker's father? (Darth Vader) (3) Name a Jedi master. (Yoda, Obi-Wan, Mace Windu) (4) What year did Star Wars first come out? (1977) (5) What color is Yoda? (Green). MC: skip if residents aren't Star Wars fans - swap for 1970s movie trivia.</t>
  </si>
  <si>
    <t xml:space="preserve">Front-Page News + Movie Trivia</t>
  </si>
  <si>
    <t xml:space="preserve">Read the front page. Trivia: 'May the 4th be with you' explained for those who haven't heard it. Word scramble: JEDI, YODA, FORCE, REBEL, SABER, GALAXY, SPACE.</t>
  </si>
  <si>
    <t xml:space="preserve">Photo Album Browsing</t>
  </si>
  <si>
    <t xml:space="preserve">Old family photo albums or community photos. Resident chooses one to look through with an aide. 25 min.</t>
  </si>
  <si>
    <t xml:space="preserve">🎲 Game: Picture Bingo - Simplified 4x4 Bingo with picture cards (animals, flowers). Aide assists with marker placement. Small treats as prizes.
☕ Social: Reminiscence Circle - Pass familiar objects (rolling pin, dial phone, bonnet) around the circle. Each resident holds and shares any memory it sparks. Coffee and cookies.
🎵 Music: Familiar Songs Sing-Along - Hymns and standards from the 30s-50s ('Amazing Grace,' 'You Are My Sunshine'). Lyrics on large-print sheets. Volunteer pianist if available.
🍰 Food: Cookie &amp; Milk Social - Sugar cookies and warm milk. Simple, comforting. Sit-down with one staff per 4 residents. Conversation prompts about childhood treats.
🎨 Crafts: Paint a Pre-Drawn Picture - Pre-printed coloring sheets of flowers/animals. Wide markers and watercolors. Display on the bulletin board.
🌿 Outdoor: Patio Sitting &amp; Birdwatching - Shaded patio. Bird feeders refilled. Soft music. Light snacks and lemonade. Walking residents can do a slow lap.</t>
  </si>
  <si>
    <t xml:space="preserve">Word Search: Star Wars Day</t>
  </si>
  <si>
    <t xml:space="preserve">Today's themed word search (Star Wars Day). Large-print version distributed at every table. Words: JEDI, YODA, FORCE, STAR, LIGHT, SABER, GALAXY, SPACE. 25 min. AL/IL: independent. MC: leader does it on a whiteboard with the group, calls out and points.</t>
  </si>
  <si>
    <t xml:space="preserve">Old TV Show Lounge (I Love Lucy / Andy Griffith)</t>
  </si>
  <si>
    <t xml:space="preserve">30-min familiar episode. Cozy lounge. Optional snack.</t>
  </si>
  <si>
    <t xml:space="preserve">May 5</t>
  </si>
  <si>
    <t xml:space="preserve">Tuesday</t>
  </si>
  <si>
    <t xml:space="preserve">Cinco de Mayo</t>
  </si>
  <si>
    <t xml:space="preserve">Maracas &amp; Music Movement</t>
  </si>
  <si>
    <t xml:space="preserve">Hand each resident maracas or a tambourine. Play Mexican folk music. Shake along. 15 min.</t>
  </si>
  <si>
    <t xml:space="preserve">Mexico &amp; Cinco de Mayo Trivia</t>
  </si>
  <si>
    <t xml:space="preserve">(1) Cinco de Mayo celebrates a victory in what year? (1862) (2) What battle? (Battle of Puebla) (3) What's the capital of Mexico? (Mexico City) (4) Name a Mexican dish. (Tacos, enchiladas, tamales) (5) What's the Spanish word for 'thank you'? (Gracias). MC: bilingual cards - show both English and Spanish.</t>
  </si>
  <si>
    <t xml:space="preserve">Cinco de Mayo Word Search (Spanish-English)</t>
  </si>
  <si>
    <t xml:space="preserve">Word search in two languages: HOLA/HELLO, AMIGO/FRIEND, FIESTA/PARTY, GRACIAS/THANKS, MUSICA/MUSIC, BAILE/DANCE, COMIDA/FOOD. Brief history: Cinco de Mayo commemorates Mexico's 1862 Battle of Puebla victory.</t>
  </si>
  <si>
    <t xml:space="preserve">Pet Therapy Visit</t>
  </si>
  <si>
    <t xml:space="preserve">Therapy dog (if scheduled) or staff brings facility cat for petting. 20 min. Calming.</t>
  </si>
  <si>
    <t xml:space="preserve">🎲 Game: Loteria (Mexican Bingo) - Picture cards instead of numbers. Beans for markers.
☕ Social: Cinco de Mayo Fiesta - Mariachi music, paper banners, agua fresca, guacamole+chips (or tortilla pinwheels for soft diets).
🎵 Music: Familiar Songs Sing-Along - Hymns and standards from the 30s-50s ('Amazing Grace,' 'You Are My Sunshine'). Lyrics on large-print sheets. Volunteer pianist if available.
🍰 Food: Taco / Quesadilla Bar - Build your own taco or quesadilla bar. Mild salsa. Churros for dessert.
🎨 Crafts: Paint a Pre-Drawn Picture - Pre-printed coloring sheets of flowers/animals. Wide markers and watercolors. Display on the bulletin board.
🌿 Outdoor: Patio Sitting &amp; Birdwatching - Shaded patio. Bird feeders refilled. Soft music. Light snacks and lemonade. Walking residents can do a slow lap.</t>
  </si>
  <si>
    <t xml:space="preserve">Word Search: Cinco de Mayo</t>
  </si>
  <si>
    <t xml:space="preserve">Today's themed word search (Cinco de Mayo). Large-print version distributed at every table. Words: FIESTA, AMIGO, MUSIC, DANCE, BAILE, COMIDA, GRACIAS, HOLA. 25 min. AL/IL: independent. MC: leader does it on a whiteboard with the group, calls out and points.</t>
  </si>
  <si>
    <t xml:space="preserve">May 6</t>
  </si>
  <si>
    <t xml:space="preserve">Wednesday</t>
  </si>
  <si>
    <t xml:space="preserve">National Nurses Day &amp; National Beverage Day</t>
  </si>
  <si>
    <t xml:space="preserve">Slow Stretch + Hand Massage</t>
  </si>
  <si>
    <t xml:space="preserve">Seated stretch followed by individual aide-led hand massage with lotion. 25 min total. Honors Nurses Day.</t>
  </si>
  <si>
    <t xml:space="preserve">Famous Nurses Trivia</t>
  </si>
  <si>
    <t xml:space="preserve">(1) Who was the founder of modern nursing? (Florence Nightingale) (2) What's the famous nurses' lamp called? (The Lamp of Nightingale) (3) What nurse founded the American Red Cross? (Clara Barton) (4) What's the highest nursing degree? (Doctor of Nursing Practice or PhD) (5) What month is Nurses Month? (May). MC: emphasize the local nurses on staff.</t>
  </si>
  <si>
    <t xml:space="preserve">Newspaper + 'Things My Mom/Nurse Said' Reminiscence</t>
  </si>
  <si>
    <t xml:space="preserve">Read paper, then a short list of common sayings ('An apple a day keeps the doctor away,' 'Drink your water,' 'Get some rest!'). Residents share sayings they remember from their own mothers or nurses. Word game: NURSE, CARE, HEAL, HEART, HAND, KIND.</t>
  </si>
  <si>
    <t xml:space="preserve">Aromatherapy with Lavender</t>
  </si>
  <si>
    <t xml:space="preserve">Lavender essential oil diffused. Soft music. Reclining chairs. 25 min. Stress relief.</t>
  </si>
  <si>
    <t xml:space="preserve">🎲 Game: Picture Bingo - Simplified 4x4 Bingo with picture cards (animals, flowers). Aide assists with marker placement. Small treats as prizes.
☕ Social: Reminiscence Circle - Pass familiar objects (rolling pin, dial phone, bonnet) around the circle. Each resident holds and shares any memory it sparks. Coffee and cookies.
🎵 Music: Familiar Songs Sing-Along - Hymns and standards from the 30s-50s ('Amazing Grace,' 'You Are My Sunshine'). Lyrics on large-print sheets. Volunteer pianist if available.
🍰 Food: Cookie &amp; Milk Social - Sugar cookies and warm milk. Simple, comforting. Sit-down with one staff per 4 residents. Conversation prompts about childhood treats.
🎨 Crafts: Make-a-Card for Nurses - Cards for facility nurses or local hospital staff. Activity director delivers.
🌿 Outdoor: Patio Sitting &amp; Birdwatching - Shaded patio. Bird feeders refilled. Soft music. Light snacks and lemonade. Walking residents can do a slow lap.</t>
  </si>
  <si>
    <t xml:space="preserve">Word Search: Nurses Day</t>
  </si>
  <si>
    <t xml:space="preserve">Today's themed word search (Nurses Day). Large-print version distributed at every table. Words: NURSE, CARE, HEAL, HEART, HAND, KIND, HELP, HOPE. 25 min. AL/IL: independent. MC: leader does it on a whiteboard with the group, calls out and points.</t>
  </si>
  <si>
    <t xml:space="preserve">Soft Music + Hand Lotion Round</t>
  </si>
  <si>
    <t xml:space="preserve">Aide goes around with hand lotion. Soft music. Cozy. 45 min.</t>
  </si>
  <si>
    <t xml:space="preserve">May 7</t>
  </si>
  <si>
    <t xml:space="preserve">Thursday</t>
  </si>
  <si>
    <t xml:space="preserve">National Roast Leg of Lamb Day</t>
  </si>
  <si>
    <t xml:space="preserve">Walking Circle (Hallway Loop)</t>
  </si>
  <si>
    <t xml:space="preserve">Walking residents do a slow indoor loop with aide; non-walkers wheeled along. Stop at flower arrangements. 25 min.</t>
  </si>
  <si>
    <t xml:space="preserve">Greek &amp; Mediterranean Trivia</t>
  </si>
  <si>
    <t xml:space="preserve">(National Roast Leg of Lamb Day - lean Greek) (1) What ancient city had the Acropolis? (Athens) (2) Name a Greek god. (Zeus, Apollo, Athena) (3) What's a Greek breakfast? (Yogurt with honey, bread) (4) What sea is between Greece and Turkey? (Aegean) (5) What's the Greek word for hello? (Yassou or Kalimera). MC: photos of Greek islands.</t>
  </si>
  <si>
    <t xml:space="preserve">Garden Section + Flower Crossword (Easy)</t>
  </si>
  <si>
    <t xml:space="preserve">Read the garden/home section. Easy 9-word crossword. Clues: 'Yellow flower with a dark center' (DAISY), 'Symbol of mothers' (CARNATION), 'Spring bulb in tulips family' (TULIP), 'Climbs trellises with thorns' (ROSE).</t>
  </si>
  <si>
    <t xml:space="preserve">Greek Mythology Story Hour</t>
  </si>
  <si>
    <t xml:space="preserve">Reader (volunteer) reads short Greek myths. Olives and feta on toast for snack. 30 min.</t>
  </si>
  <si>
    <t xml:space="preserve">🎲 Game: Picture Bingo - Simplified 4x4 Bingo with picture cards (animals, flowers). Aide assists with marker placement. Small treats as prizes.
☕ Social: Reminiscence Circle - Pass familiar objects (rolling pin, dial phone, bonnet) around the circle. Each resident holds and shares any memory it sparks. Coffee and cookies.
🎵 Music: Familiar Songs Sing-Along - Hymns and standards from the 30s-50s ('Amazing Grace,' 'You Are My Sunshine'). Lyrics on large-print sheets. Volunteer pianist if available.
🍰 Food: Greek Mezze Tasting - Hummus, pita bread, olives, feta, grape leaves. Greek music. 60 min.
🎨 Crafts: Paint a Pre-Drawn Picture - Pre-printed coloring sheets of flowers/animals. Wide markers and watercolors. Display on the bulletin board.
🌿 Outdoor: Patio Sitting &amp; Birdwatching - Shaded patio. Bird feeders refilled. Soft music. Light snacks and lemonade. Walking residents can do a slow lap.</t>
  </si>
  <si>
    <t xml:space="preserve">Word Search: Garden Crossword Words</t>
  </si>
  <si>
    <t xml:space="preserve">Today's themed word search (Garden Crossword Words). Large-print version distributed at every table. Words: DAISY, ROSE, TULIP, LILY, PETAL, STEM, LEAF, SEED. 25 min. AL/IL: independent. MC: leader does it on a whiteboard with the group, calls out and points.</t>
  </si>
  <si>
    <t xml:space="preserve">May 8</t>
  </si>
  <si>
    <t xml:space="preserve">V-E Day (Victory in Europe, 1945) &amp; No Socks Day</t>
  </si>
  <si>
    <t xml:space="preserve">Big Band Seated Dance</t>
  </si>
  <si>
    <t xml:space="preserve">Glenn Miller, Andrews Sisters playing. Hand-claps, shoulder shimmies, gentle swaying. 20 min.</t>
  </si>
  <si>
    <t xml:space="preserve">WWII &amp; V-E Day Trivia</t>
  </si>
  <si>
    <t xml:space="preserve">(1) On what date in 1945 did Germany surrender? (May 8, 1945) (2) Who was U.S. President? (Truman) (3) What was 'D-Day'? (June 6, 1944, Normandy invasion) (4) Name a WWII Allied leader. (Churchill, FDR, Stalin) (5) What ship was attacked at Pearl Harbor? (USS Arizona, among others). MC: keep light - show home-front images.</t>
  </si>
  <si>
    <t xml:space="preserve">V-E Day History Read + 1940s Word Search</t>
  </si>
  <si>
    <t xml:space="preserve">Brief read-aloud about Victory in Europe Day (May 8, 1945, Germany surrendered). Word search: VICTORY, FREEDOM, ALLIES, PEACE, EUROPE, FLAG, HEROES, HOME, RATION, GARDEN (as in Victory Garden).</t>
  </si>
  <si>
    <t xml:space="preserve">V-E Day Memory Hour</t>
  </si>
  <si>
    <t xml:space="preserve">Photos and headlines from May 1945. Residents share memories. Quiet 1940s music. 30 min.</t>
  </si>
  <si>
    <t xml:space="preserve">🎲 Game: Picture Bingo - Simplified 4x4 Bingo with picture cards (animals, flowers). Aide assists with marker placement. Small treats as prizes.
☕ Social: Mother's Day Tea (Pre-Celebration) - Linen tablecloths, china teacups, finger sandwiches, scones with jam, lemon bars. Honor every female resident. Fresh corsages.
🎵 Music: Familiar Songs Sing-Along - Hymns and standards from the 30s-50s ('Amazing Grace,' 'You Are My Sunshine'). Lyrics on large-print sheets. Volunteer pianist if available.
🍰 Food: Cookie &amp; Milk Social - Sugar cookies and warm milk. Simple, comforting. Sit-down with one staff per 4 residents. Conversation prompts about childhood treats.
🎨 Crafts: Paint a Pre-Drawn Picture - Pre-printed coloring sheets of flowers/animals. Wide markers and watercolors. Display on the bulletin board.
🌿 Outdoor: Patio Sitting &amp; Birdwatching - Shaded patio. Bird feeders refilled. Soft music. Light snacks and lemonade. Walking residents can do a slow lap.</t>
  </si>
  <si>
    <t xml:space="preserve">Word Search: V-E Day 1945</t>
  </si>
  <si>
    <t xml:space="preserve">Today's themed word search (V-E Day 1945). Large-print version distributed at every table. Words: VICTORY, PEACE, ALLIES, FREEDOM, HEROES, EUROPE, FLAG, HONOR. 25 min. AL/IL: independent. MC: leader does it on a whiteboard with the group, calls out and points.</t>
  </si>
  <si>
    <t xml:space="preserve">May 9</t>
  </si>
  <si>
    <t xml:space="preserve">National Lost Sock Memorial Day &amp; National Train Day</t>
  </si>
  <si>
    <t xml:space="preserve">Train Whistle Warm-up</t>
  </si>
  <si>
    <t xml:space="preserve">Marching arms like a conductor. Whistle 'whoo-whoo' on count of 5. 'Chattanooga Choo Choo' background. 15 min.</t>
  </si>
  <si>
    <t xml:space="preserve">Trains &amp; Travel Trivia</t>
  </si>
  <si>
    <t xml:space="preserve">(National Train Day) (1) What's the famous transcontinental train? (Orient Express, or transcontinental railroad meeting at Promontory Summit) (2) What U.S. region has Amtrak's Empire Builder? (Northwest) (3) Who sang 'Chattanooga Choo Choo'? (Glenn Miller) (4) What's a 'caboose'? (The last car on a freight train) (5) What does 'all aboard' mean? (Everyone on the train). MC: show train pictures.</t>
  </si>
  <si>
    <t xml:space="preserve">Travel Section + Train Trivia</t>
  </si>
  <si>
    <t xml:space="preserve">Read travel section. Train trivia: 'What was the first transcontinental railroad?' (Promontory Summit, Utah, 1869). 'What's the famous train in the Hercule Poirot mystery?' (Orient Express). Word scramble: ENGINE, CABOOSE, WHISTLE, CONDUCTOR, STATION, RAILS.</t>
  </si>
  <si>
    <t xml:space="preserve">Music Listening Hour</t>
  </si>
  <si>
    <t xml:space="preserve">Soft instrumental music. Residents in comfortable chairs. Light snacks. 30 min.</t>
  </si>
  <si>
    <t xml:space="preserve">Word Search: National Train Day</t>
  </si>
  <si>
    <t xml:space="preserve">Today's themed word search (National Train Day). Large-print version distributed at every table. Words: TRAIN, ENGINE, WHISTLE, TRACK, STEAM, RAIL, STATION, CABOOSE. 25 min. AL/IL: independent. MC: leader does it on a whiteboard with the group, calls out and points.</t>
  </si>
  <si>
    <t xml:space="preserve">May 10</t>
  </si>
  <si>
    <t xml:space="preserve">Mother's Day &amp; National Shrimp Day</t>
  </si>
  <si>
    <t xml:space="preserve">Mother's Day Gentle Stretch</t>
  </si>
  <si>
    <t xml:space="preserve">Calm stretch to a 'Songs Mom Loved' playlist. Tears or quiet welcome. 20 min.</t>
  </si>
  <si>
    <t xml:space="preserve">Famous Mothers Trivia</t>
  </si>
  <si>
    <t xml:space="preserve">(Mother's Day) (1) Who founded modern Mother's Day? (Anna Jarvis, 1908) (2) What's the average number of children per US mom today? (About 2) (3) Mother Teresa was from where originally? (Albania) (4) Name a famous mother in the Bible. (Mary, Eve, Sarah, Hannah) (5) Who was the mother of John F. Kennedy? (Rose Kennedy). MC: open conversation about residents' own mothers.</t>
  </si>
  <si>
    <t xml:space="preserve">Sunday Paper + 'Mom's Wisdom' Word List</t>
  </si>
  <si>
    <t xml:space="preserve">Sunday comics + lifestyle section. Then a word list: HEART, LOVE, KIND, HOME, HUG, WARM, FAMILY. Each resident shares one thing their mother used to say.</t>
  </si>
  <si>
    <t xml:space="preserve">Mother's Day Memory Hour</t>
  </si>
  <si>
    <t xml:space="preserve">Soft music. Residents look through old family photos and share memories of their own mothers. Tissues. 30 min.</t>
  </si>
  <si>
    <t xml:space="preserve">🎲 Game: Picture Bingo - Simplified 4x4 Bingo with picture cards (animals, flowers). Aide assists with marker placement. Small treats as prizes.
☕ Social: Mother's Day Tea Hour &amp; Family Visiting - Open visiting. Tea service. Photo station with flower backdrop. Single rose for each.
🎵 Music: Familiar Songs Sing-Along - Hymns and standards from the 30s-50s ('Amazing Grace,' 'You Are My Sunshine'). Lyrics on large-print sheets. Volunteer pianist if available.
🍰 Food: Cookie &amp; Milk Social - Sugar cookies and warm milk. Simple, comforting. Sit-down with one staff per 4 residents. Conversation prompts about childhood treats.
🎨 Crafts: Photo Frame Decorating for Family - Plain wood frames + paint + embellishments. Residents make a frame to give to family.
🌿 Outdoor: Patio Sitting &amp; Birdwatching - Shaded patio. Bird feeders refilled. Soft music. Light snacks and lemonade. Walking residents can do a slow lap.</t>
  </si>
  <si>
    <t xml:space="preserve">Word Search: Mother's Day</t>
  </si>
  <si>
    <t xml:space="preserve">Today's themed word search (Mother's Day). Large-print version distributed at every table. Words: MOTHER, MOM, LOVE, KIND, HUG, HOME, CARE, HEART. 25 min. AL/IL: independent. MC: leader does it on a whiteboard with the group, calls out and points.</t>
  </si>
  <si>
    <t xml:space="preserve">Mother's Day Quiet Music Hour</t>
  </si>
  <si>
    <t xml:space="preserve">Soft music. Tea. Photos of mothers if family supplied. Tissues. 45 min.</t>
  </si>
  <si>
    <t xml:space="preserve">May 11</t>
  </si>
  <si>
    <t xml:space="preserve">National Eat What You Want Day</t>
  </si>
  <si>
    <t xml:space="preserve">Balance Practice with Aide Support</t>
  </si>
  <si>
    <t xml:space="preserve">Heel raises, toe taps in chair. Aide nearby for those wanting to try standing. 20 min. Falls prevention focus.</t>
  </si>
  <si>
    <t xml:space="preserve">Food Favorites Trivia</t>
  </si>
  <si>
    <t xml:space="preserve">(Eat What You Want Day) (1) What's the most popular pizza topping? (Pepperoni) (2) What U.S. state grows the most peaches? (California, then Georgia) (3) What's a 'Reuben' sandwich? (Corned beef, sauerkraut, swiss, rye) (4) What's the official state pie of Florida? (Key lime) (5) What's the secret ingredient in many Southern recipes? (Buttermilk). MC: vote on favorite foods.</t>
  </si>
  <si>
    <t xml:space="preserve">Food Section + 'Eat What You Want' Vote</t>
  </si>
  <si>
    <t xml:space="preserve">It's National Eat What You Want Day. Read food section. Then a vote: 'If you could have any meal for dinner, what would it be?' Tally results - kitchen may try to feature the top vote-getter on a future menu. Word scramble: PIZZA, BURGER, PASTA, DESSERT, CHOCOLATE.</t>
  </si>
  <si>
    <t xml:space="preserve">🎲 Game: Card Tournament: Skip-Bo, UNO, Rummy - Three tables, three games. 60 min. Lemonade and pretzels. Whiteboard leaderboard.
☕ Social: Reminiscence Circle - Pass familiar objects (rolling pin, dial phone, bonnet) around the circle. Each resident holds and shares any memory it sparks. Coffee and cookies.
🎵 Music: Familiar Songs Sing-Along - Hymns and standards from the 30s-50s ('Amazing Grace,' 'You Are My Sunshine'). Lyrics on large-print sheets. Volunteer pianist if available.
🍰 Food: Cookie &amp; Milk Social - Sugar cookies and warm milk. Simple, comforting. Sit-down with one staff per 4 residents. Conversation prompts about childhood treats.
🎨 Crafts: Paint a Pre-Drawn Picture - Pre-printed coloring sheets of flowers/animals. Wide markers and watercolors. Display on the bulletin board.
🌿 Outdoor: Patio Sitting &amp; Birdwatching - Shaded patio. Bird feeders refilled. Soft music. Light snacks and lemonade. Walking residents can do a slow lap.</t>
  </si>
  <si>
    <t xml:space="preserve">Word Search: Eat What You Want</t>
  </si>
  <si>
    <t xml:space="preserve">Today's themed word search (Eat What You Want). Large-print version distributed at every table. Words: PIZZA, BURGER, CAKE, PIE, TACO, SOUP, BREAD, PASTA. 25 min. AL/IL: independent. MC: leader does it on a whiteboard with the group, calls out and points.</t>
  </si>
  <si>
    <t xml:space="preserve">May 12</t>
  </si>
  <si>
    <t xml:space="preserve">International Nurses Day &amp; National Limerick Day</t>
  </si>
  <si>
    <t xml:space="preserve">Tai Chi (Seated, Very Slow)</t>
  </si>
  <si>
    <t xml:space="preserve">Cloud hands, slow flowing. Asian instrumental. 20 min. Calming for Nurses Day.</t>
  </si>
  <si>
    <t xml:space="preserve">Limericks &amp; Wordplay Trivia</t>
  </si>
  <si>
    <t xml:space="preserve">(Limerick Day) (1) What's a limerick's rhyme scheme? (AABBA) (2) Who wrote famous limericks? (Edward Lear) (3) Where did the limerick form originate? (Limerick, Ireland) (4) What's a five-line poem called? (A limerick or a quintain) (5) Make up a limerick line that rhymes with 'today.' (Many - 'I'll be on my way,' 'come what may'). MC: read limericks aloud, ask which they liked best.</t>
  </si>
  <si>
    <t xml:space="preserve">Limerick Day Special</t>
  </si>
  <si>
    <t xml:space="preserve">Read 4-5 famous limericks aloud (Edward Lear's clean ones). Then group-write: leader provides line 1, 'There once was a [name] from [town],' and residents shout out rhyming words. Print results on the bulletin board.</t>
  </si>
  <si>
    <t xml:space="preserve">Hand Massage + Soft Music</t>
  </si>
  <si>
    <t xml:space="preserve">Honors Nurses Day with gentle hand massage with lotion. Soft music. 30 min.</t>
  </si>
  <si>
    <t xml:space="preserve">🎲 Game: Picture Bingo - Simplified 4x4 Bingo with picture cards (animals, flowers). Aide assists with marker placement. Small treats as prizes.
☕ Social: Manicure &amp; Music Social - Volunteers from local cosmetology school if possible. Hand massage with lotion if no polish.
🎵 Music: Familiar Songs Sing-Along - Hymns and standards from the 30s-50s ('Amazing Grace,' 'You Are My Sunshine'). Lyrics on large-print sheets. Volunteer pianist if available.
🍰 Food: Cookie &amp; Milk Social - Sugar cookies and warm milk. Simple, comforting. Sit-down with one staff per 4 residents. Conversation prompts about childhood treats.
🎨 Crafts: Paint a Pre-Drawn Picture - Pre-printed coloring sheets of flowers/animals. Wide markers and watercolors. Display on the bulletin board.
🌿 Outdoor: Patio Sitting &amp; Birdwatching - Shaded patio. Bird feeders refilled. Soft music. Light snacks and lemonade. Walking residents can do a slow lap.</t>
  </si>
  <si>
    <t xml:space="preserve">Limerick Composing Workshop</t>
  </si>
  <si>
    <t xml:space="preserve">National Limerick Day. Read several Edward Lear limericks aloud. Group writes one together: leader gives line 1 ('There was once a [resident] from [town]'), residents shout rhyming words. Print results.</t>
  </si>
  <si>
    <t xml:space="preserve">May 13</t>
  </si>
  <si>
    <t xml:space="preserve">National Apple Pie Day &amp; National Frog Jumping Day</t>
  </si>
  <si>
    <t xml:space="preserve">Apple Pie Energizer</t>
  </si>
  <si>
    <t xml:space="preserve">Themed warm-up: 'rolling dough' arms, 'picking apples' overhead reach, 'stirring filling' big circles. Apple-cinnamon scented cotton balls. 20 min.</t>
  </si>
  <si>
    <t xml:space="preserve">Apple Pie Trivia</t>
  </si>
  <si>
    <t xml:space="preserve">(Apple Pie Day) (1) What state grows the most apples? (Washington) (2) Name 3 apple varieties. (Granny Smith, Honeycrisp, Gala, Fuji, Red Delicious) (3) What's 'apple pie a la mode'? (Pie with ice cream) (4) Who said 'an apple a day keeps the doctor away'? (Old proverb, traditional) (5) What was Johnny Appleseed's real name? (John Chapman). MC: smell test - cinnamon and apple scents.</t>
  </si>
  <si>
    <t xml:space="preserve">Food Section + Apple Pie Recipe Read-Aloud</t>
  </si>
  <si>
    <t xml:space="preserve">Read a classic apple pie recipe aloud. Group reminisces: 'who in your family made the best pie?' Word search: APPLE, CRUST, BAKE, OVEN, SLICE, FORK, SUGAR, CINNAMON, NUTMEG, BUTTER.</t>
  </si>
  <si>
    <t xml:space="preserve">🎲 Game: Picture Bingo - Simplified 4x4 Bingo with picture cards (animals, flowers). Aide assists with marker placement. Small treats as prizes.
☕ Social: Reminiscence Circle - Pass familiar objects (rolling pin, dial phone, bonnet) around the circle. Each resident holds and shares any memory it sparks. Coffee and cookies.
🎵 Music: Familiar Songs Sing-Along - Hymns and standards from the 30s-50s ('Amazing Grace,' 'You Are My Sunshine'). Lyrics on large-print sheets. Volunteer pianist if available.
🍰 Food: Apple Pie Tasting + Demo - Pre-baked apple pie cut and served with vanilla ice cream. Brief demo of how to make pie crust. 60 min.
🎨 Crafts: Paint a Pre-Drawn Picture - Pre-printed coloring sheets of flowers/animals. Wide markers and watercolors. Display on the bulletin board.
🌿 Outdoor: Patio Sitting &amp; Birdwatching - Shaded patio. Bird feeders refilled. Soft music. Light snacks and lemonade. Walking residents can do a slow lap.</t>
  </si>
  <si>
    <t xml:space="preserve">Word Search: Apple Pie &amp; Frogs</t>
  </si>
  <si>
    <t xml:space="preserve">Today's themed word search (Apple Pie &amp; Frogs). Large-print version distributed at every table. Words: APPLE, PIE, CRUST, BAKE, OVEN, SLICE, FORK, SUGAR. 25 min. AL/IL: independent. MC: leader does it on a whiteboard with the group, calls out and points.</t>
  </si>
  <si>
    <t xml:space="preserve">May 14</t>
  </si>
  <si>
    <t xml:space="preserve">National Buttermilk Biscuit Day</t>
  </si>
  <si>
    <t xml:space="preserve">Country Music Movement: 'Biscuit Stretch'</t>
  </si>
  <si>
    <t xml:space="preserve">25-min seated dance to Patsy Cline, Hank Williams. Imaginary 'rolling out dough' arm motions, 'patting biscuits' hand claps. Smell of warm biscuits drifts from kitchen.</t>
  </si>
  <si>
    <t xml:space="preserve">Southern Cooking Trivia</t>
  </si>
  <si>
    <t xml:space="preserve">(Buttermilk Biscuit Day) (1) What makes a biscuit fluffy? (Cold butter, baking powder) (2) Name a Southern breakfast staple. (Biscuits, gravy, grits, eggs) (3) What's 'redeye gravy'? (Country ham + coffee) (4) What's a 'short stack'? (Two pancakes) (5) Where was buttermilk first used? (Originally a byproduct of butter-making, used widely in Britain and the South). MC: pass around a warm biscuit to smell.</t>
  </si>
  <si>
    <t xml:space="preserve">Food Section + Biscuit Recipe Reminiscence</t>
  </si>
  <si>
    <t xml:space="preserve">Read paper, then read aloud the basic buttermilk biscuit recipe (flour, baking powder, salt, butter, buttermilk). Residents share grandmother's biscuit memories. Word scramble: BISCUIT, BUTTER, FLOUR, GRAVY, JAM, HONEY.</t>
  </si>
  <si>
    <t xml:space="preserve">Sensory Bin Time</t>
  </si>
  <si>
    <t xml:space="preserve">Bins of textured items (fabric scraps, smooth stones, dried beans). Each resident has their own bin to explore. 20 min.</t>
  </si>
  <si>
    <t xml:space="preserve">🎲 Game: Picture Bingo - Simplified 4x4 Bingo with picture cards (animals, flowers). Aide assists with marker placement. Small treats as prizes.
☕ Social: Reminiscence Circle - Pass familiar objects (rolling pin, dial phone, bonnet) around the circle. Each resident holds and shares any memory it sparks. Coffee and cookies.
🎵 Music: Familiar Songs Sing-Along - Hymns and standards from the 30s-50s ('Amazing Grace,' 'You Are My Sunshine'). Lyrics on large-print sheets. Volunteer pianist if available.
🍰 Food: Drop Biscuits &amp; Jam Workshop - Hands-on cooking demo: drop biscuits (mix ingredients in a bowl, drop spoonfuls on tray). Bake in facility kitchen. Eat warm with butter, honey, and 3 jam flavors. Country music. 60 min.
🎨 Crafts: Paint a Pre-Drawn Picture - Pre-printed coloring sheets of flowers/animals. Wide markers and watercolors. Display on the bulletin board.
🌿 Outdoor: Patio Sitting &amp; Birdwatching - Shaded patio. Bird feeders refilled. Soft music. Light snacks and lemonade. Walking residents can do a slow lap.</t>
  </si>
  <si>
    <t xml:space="preserve">Word Search: Buttermilk Biscuit</t>
  </si>
  <si>
    <t xml:space="preserve">Today's themed word search (Buttermilk Biscuit). Large-print version distributed at every table. Words: BISCUIT, BUTTER, FLOUR, GRAVY, JAM, HONEY, WARM, FRESH. 25 min. AL/IL: independent. MC: leader does it on a whiteboard with the group, calls out and points.</t>
  </si>
  <si>
    <t xml:space="preserve">Biscuit + Tea Wind-Down</t>
  </si>
  <si>
    <t xml:space="preserve">Leftover biscuits with butter and jam. Decaf tea, country music. 45 min.</t>
  </si>
  <si>
    <t xml:space="preserve">May 15</t>
  </si>
  <si>
    <t xml:space="preserve">National Chocolate Chip Day</t>
  </si>
  <si>
    <t xml:space="preserve">Chair Yoga: Shoulders &amp; Neck</t>
  </si>
  <si>
    <t xml:space="preserve">Friday calm session. Focus areas residents complain about. 20 min.</t>
  </si>
  <si>
    <t xml:space="preserve">Cookies &amp; Sweets Trivia</t>
  </si>
  <si>
    <t xml:space="preserve">(Chocolate Chip Day) (1) Who invented chocolate chip cookies? (Ruth Wakefield, 1938) (2) What inn? (Toll House Inn, Whitman, MA) (3) Name 3 cookie varieties. (Sugar, oatmeal, peanut butter, snickerdoodle, gingerbread) (4) What's a 'biscotti'? (Italian twice-baked cookie) (5) Who is Famous Amos? (Wally Amos, founder of the cookie chain). MC: cookie tasting in afternoon.</t>
  </si>
  <si>
    <t xml:space="preserve">Newspaper + Chocolate Chip Cookie History</t>
  </si>
  <si>
    <t xml:space="preserve">Did you know chocolate chip cookies were invented in 1938 by Ruth Wakefield at the Toll House Inn? Brief history read. Word search: COOKIE, CHOCOLATE, CHIP, BAKE, OVEN, MILK, SWEET, CHEW, CRUNCH, NESTLE.</t>
  </si>
  <si>
    <t xml:space="preserve">🎲 Game: Picture Bingo - Simplified 4x4 Bingo with picture cards (animals, flowers). Aide assists with marker placement. Small treats as prizes.
☕ Social: Reminiscence Circle - Pass familiar objects (rolling pin, dial phone, bonnet) around the circle. Each resident holds and shares any memory it sparks. Coffee and cookies.
🎵 Music: Familiar Songs Sing-Along - Hymns and standards from the 30s-50s ('Amazing Grace,' 'You Are My Sunshine'). Lyrics on large-print sheets. Volunteer pianist if available.
🍰 Food: Cookie Decorating + Milk - Pre-baked sugar cookies, frosting, sprinkles, mini chocolate chips. Decorate, then enjoy with cold milk. 60 min.
🎨 Crafts: Cookie Decorating Social - Same as Food - choose either. Pre-baked cookies, frosting, sprinkles. Display the prettiest on the bulletin board. 60 min.
🌿 Outdoor: Patio Sitting &amp; Birdwatching - Shaded patio. Bird feeders refilled. Soft music. Light snacks and lemonade. Walking residents can do a slow lap.</t>
  </si>
  <si>
    <t xml:space="preserve">Word Search: Chocolate Chip</t>
  </si>
  <si>
    <t xml:space="preserve">Today's themed word search (Chocolate Chip). Large-print version distributed at every table. Words: COOKIE, CHIP, MILK, OVEN, BAKE, SWEET, CHEW, CRUNCH. 25 min. AL/IL: independent. MC: leader does it on a whiteboard with the group, calls out and points.</t>
  </si>
  <si>
    <t xml:space="preserve">May 16</t>
  </si>
  <si>
    <t xml:space="preserve">Armed Forces Day (3rd Saturday) &amp; National BBQ Day</t>
  </si>
  <si>
    <t xml:space="preserve">Patriotic Marching Music</t>
  </si>
  <si>
    <t xml:space="preserve">Sousa marches. March in place. Salutes for veterans. 20 min.</t>
  </si>
  <si>
    <t xml:space="preserve">Armed Forces Trivia</t>
  </si>
  <si>
    <t xml:space="preserve">(Armed Forces Day) (1) How many U.S. military branches? (6 - Army, Navy, Air Force, Marines, Coast Guard, Space Force) (2) Which is oldest? (Army, 1775) (3) What's the Marines' motto? (Semper Fi) (4) When was the Air Force created? (1947) (5) What was D-Day's location? (Normandy, France). MC: honor any veterans in the room.</t>
  </si>
  <si>
    <t xml:space="preserve">Newspaper + Military Branches Word Match</t>
  </si>
  <si>
    <t xml:space="preserve">Read paper, especially Armed Forces Day coverage. Word match: connect each branch to its motto - Army (This We'll Defend), Navy (Semper Fortis), Marines (Semper Fi), Air Force (Aim High - Fly-Fight-Win), Coast Guard (Semper Paratus), Space Force (Semper Supra).</t>
  </si>
  <si>
    <t xml:space="preserve">Veterans Photo Reminiscence</t>
  </si>
  <si>
    <t xml:space="preserve">Photos of veteran residents in uniform. Quiet music. Conversations welcomed. 30 min.</t>
  </si>
  <si>
    <t xml:space="preserve">🎲 Game: Picture Bingo - Simplified 4x4 Bingo with picture cards (animals, flowers). Aide assists with marker placement. Small treats as prizes.
☕ Social: Armed Forces Day Honor Ceremony - 30-min ceremony. Branch flags, thank-you cards, patriotic music, red-white-blue cupcakes.
🎵 Music: Familiar Songs Sing-Along - Hymns and standards from the 30s-50s ('Amazing Grace,' 'You Are My Sunshine'). Lyrics on large-print sheets. Volunteer pianist if available.
🍰 Food: Cookie &amp; Milk Social - Sugar cookies and warm milk. Simple, comforting. Sit-down with one staff per 4 residents. Conversation prompts about childhood treats.
🎨 Crafts: Paint a Pre-Drawn Picture - Pre-printed coloring sheets of flowers/animals. Wide markers and watercolors. Display on the bulletin board.
🌿 Outdoor: Patio Sitting &amp; Birdwatching - Shaded patio. Bird feeders refilled. Soft music. Light snacks and lemonade. Walking residents can do a slow lap.</t>
  </si>
  <si>
    <t xml:space="preserve">Word Search: Armed Forces Day</t>
  </si>
  <si>
    <t xml:space="preserve">Today's themed word search (Armed Forces Day). Large-print version distributed at every table. Words: ARMY, NAVY, MARINE, AIRFORCE, SPACE, COAST, PROUD, BRAVE. 25 min. AL/IL: independent. MC: leader does it on a whiteboard with the group, calls out and points.</t>
  </si>
  <si>
    <t xml:space="preserve">USO Musical Hour</t>
  </si>
  <si>
    <t xml:space="preserve">WWII patriotic music. Optional sing-along. 45 min.</t>
  </si>
  <si>
    <t xml:space="preserve">May 17</t>
  </si>
  <si>
    <t xml:space="preserve">National Walnut Day</t>
  </si>
  <si>
    <t xml:space="preserve">Sunday Calm Stretch + Hymns</t>
  </si>
  <si>
    <t xml:space="preserve">Slow Sunday stretch + soft hymn music. Optional chaplain. 20 min.</t>
  </si>
  <si>
    <t xml:space="preserve">Walnut &amp; Trees Trivia</t>
  </si>
  <si>
    <t xml:space="preserve">(National Walnut Day) (1) Where do walnuts originate? (Persia/Iran) (2) What U.S. state grows the most walnuts? (California - 99%) (3) Name 3 nuts. (Walnut, almond, pecan, pistachio, cashew) (4) What's the largest tree species? (Coast redwood) (5) What tree has acorns? (Oak). MC: pass around walnuts in shells.</t>
  </si>
  <si>
    <t xml:space="preserve">Sunday Comics + Walnut Trivia</t>
  </si>
  <si>
    <t xml:space="preserve">Sunday comics. Walnut Day brief: walnuts come from a tree native to Persia, introduced to North America in the 1700s. Word search: NUT, TREE, SHELL, MEAT, BAKE, BREAD, FALL, AUTUMN, CRACK, BOWL.</t>
  </si>
  <si>
    <t xml:space="preserve">Walnut Bread + Quiet Hour</t>
  </si>
  <si>
    <t xml:space="preserve">Slice of walnut bread, tea, soft music. Magazines available. 30 min.</t>
  </si>
  <si>
    <t xml:space="preserve">🎲 Game: Picture Bingo - Simplified 4x4 Bingo with picture cards (animals, flowers). Aide assists with marker placement. Small treats as prizes.
☕ Social: Sunday Hymn Sing &amp; Visiting Hour - Volunteer pianist. Cookies and tea. Walnut bread sample if available. 60-90 min.
🎵 Music: Familiar Songs Sing-Along - Hymns and standards from the 30s-50s ('Amazing Grace,' 'You Are My Sunshine'). Lyrics on large-print sheets. Volunteer pianist if available.
🍰 Food: Cookie &amp; Milk Social - Sugar cookies and warm milk. Simple, comforting. Sit-down with one staff per 4 residents. Conversation prompts about childhood treats.
🎨 Crafts: Paint a Pre-Drawn Picture - Pre-printed coloring sheets of flowers/animals. Wide markers and watercolors. Display on the bulletin board.
🌿 Outdoor: Patio Sitting &amp; Birdwatching - Shaded patio. Bird feeders refilled. Soft music. Light snacks and lemonade. Walking residents can do a slow lap.</t>
  </si>
  <si>
    <t xml:space="preserve">Word Search: Walnut Day</t>
  </si>
  <si>
    <t xml:space="preserve">Today's themed word search (Walnut Day). Large-print version distributed at every table. Words: WALNUT, TREE, SHELL, NUT, BAKE, BREAD, FALL, AUTUMN. 25 min. AL/IL: independent. MC: leader does it on a whiteboard with the group, calls out and points.</t>
  </si>
  <si>
    <t xml:space="preserve">May 18</t>
  </si>
  <si>
    <t xml:space="preserve">International Museum Day</t>
  </si>
  <si>
    <t xml:space="preserve">Hallway Walk + Art Stops</t>
  </si>
  <si>
    <t xml:space="preserve">Walk indoor loop. Famous-art prints placed along the way. 25 min.</t>
  </si>
  <si>
    <t xml:space="preserve">Famous Museums Trivia</t>
  </si>
  <si>
    <t xml:space="preserve">(Museum Day) (1) Where is the Louvre? (Paris) (2) What U.S. museum has the Star-Spangled Banner? (Smithsonian, NMAH) (3) What's MOMA short for? (Museum of Modern Art - NYC) (4) Where is the Sistine Chapel? (Vatican) (5) What city has the Field Museum? (Chicago). MC: show famous artwork prints.</t>
  </si>
  <si>
    <t xml:space="preserve">Newspaper + Art Trivia</t>
  </si>
  <si>
    <t xml:space="preserve">Read paper. Art trivia card: 'Who painted the Mona Lisa?' (Da Vinci). 'What's the famous American painting of a farmer with a pitchfork?' (American Gothic, by Grant Wood). 'What artist cut off his ear?' (Van Gogh).</t>
  </si>
  <si>
    <t xml:space="preserve">🎲 Game: Picture Bingo - Simplified 4x4 Bingo with picture cards (animals, flowers). Aide assists with marker placement. Small treats as prizes.
☕ Social: Reminiscence Circle - Pass familiar objects (rolling pin, dial phone, bonnet) around the circle. Each resident holds and shares any memory it sparks. Coffee and cookies.
🎵 Music: Familiar Songs Sing-Along - Hymns and standards from the 30s-50s ('Amazing Grace,' 'You Are My Sunshine'). Lyrics on large-print sheets. Volunteer pianist if available.
🍰 Food: Cookie &amp; Milk Social - Sugar cookies and warm milk. Simple, comforting. Sit-down with one staff per 4 residents. Conversation prompts about childhood treats.
🎨 Crafts: Watercolor Painting Hour - Watercolor stations: tulip, sunset, apple. No skill required. Display all artwork.
🌿 Outdoor: Patio Sitting &amp; Birdwatching - Shaded patio. Bird feeders refilled. Soft music. Light snacks and lemonade. Walking residents can do a slow lap.</t>
  </si>
  <si>
    <t xml:space="preserve">Word Search: Museum Day</t>
  </si>
  <si>
    <t xml:space="preserve">Today's themed word search (Museum Day). Large-print version distributed at every table. Words: MUSEUM, ART, PAINT, STATUE, GLASS, TOUR, STUDY, GALLERY. 25 min. AL/IL: independent. MC: leader does it on a whiteboard with the group, calls out and points.</t>
  </si>
  <si>
    <t xml:space="preserve">May 19</t>
  </si>
  <si>
    <t xml:space="preserve">National Devil's Food Cake Day</t>
  </si>
  <si>
    <t xml:space="preserve">Resistance Band: Light Arms Only</t>
  </si>
  <si>
    <t xml:space="preserve">Very light bands, arm exercises only, seated. Jazz background. 20 min.</t>
  </si>
  <si>
    <t xml:space="preserve">Cake &amp; Chocolate Trivia</t>
  </si>
  <si>
    <t xml:space="preserve">(Devil's Food Cake Day) (1) What makes Devil's Food Cake 'devil'? (Rich cocoa) (2) Name 3 cake types. (Sponge, pound, angel food, layer, sheet) (3) What's the difference between cocoa and chocolate? (Cocoa is processed, chocolate has cocoa butter) (4) Who invented German chocolate cake? (Sam German, 1852) (5) What's a 'cake walk'? (Easy task; also a 19th-c. competition). MC: smell test - chocolate.</t>
  </si>
  <si>
    <t xml:space="preserve">Food Section + Devil's Food Cake History</t>
  </si>
  <si>
    <t xml:space="preserve">Read food section. Brief history: Devil's Food Cake first appeared in cookbooks around 1900s, named for being so 'sinfully good.' Word scramble: DEVIL, CAKE, FROST, COCOA, RICH, MOIST, FUDGE.</t>
  </si>
  <si>
    <t xml:space="preserve">🎲 Game: Picture Bingo - Simplified 4x4 Bingo with picture cards (animals, flowers). Aide assists with marker placement. Small treats as prizes.
☕ Social: Reminiscence Circle - Pass familiar objects (rolling pin, dial phone, bonnet) around the circle. Each resident holds and shares any memory it sparks. Coffee and cookies.
🎵 Music: Familiar Songs Sing-Along - Hymns and standards from the 30s-50s ('Amazing Grace,' 'You Are My Sunshine'). Lyrics on large-print sheets. Volunteer pianist if available.
🍰 Food: Cake &amp; Coffee Social - Devil's Food Cake. Coffee, tea, decaf. Volunteer pianist if available.
🎨 Crafts: Paint a Pre-Drawn Picture - Pre-printed coloring sheets of flowers/animals. Wide markers and watercolors. Display on the bulletin board.
🌿 Outdoor: Patio Sitting &amp; Birdwatching - Shaded patio. Bird feeders refilled. Soft music. Light snacks and lemonade. Walking residents can do a slow lap.</t>
  </si>
  <si>
    <t xml:space="preserve">Word Search: Devil's Food Cake</t>
  </si>
  <si>
    <t xml:space="preserve">Today's themed word search (Devil's Food Cake). Large-print version distributed at every table. Words: CAKE, COCOA, FUDGE, RICH, MOIST, DEVIL, FROST, BIRTHDAY. 25 min. AL/IL: independent. MC: leader does it on a whiteboard with the group, calls out and points.</t>
  </si>
  <si>
    <t xml:space="preserve">May 20</t>
  </si>
  <si>
    <t xml:space="preserve">National Pick Strawberries Day</t>
  </si>
  <si>
    <t xml:space="preserve">Strawberry Picking Pretend</t>
  </si>
  <si>
    <t xml:space="preserve">Bend-and-pick motions, reach for 'imaginary berries.' Music: country. 15 min.</t>
  </si>
  <si>
    <t xml:space="preserve">Strawberry &amp; Berry Trivia</t>
  </si>
  <si>
    <t xml:space="preserve">(Pick Strawberries Day) (1) Where are strawberries' seeds? (Outside) (2) What's the world's biggest strawberry producer? (China, then U.S.) (3) Name 5 berries. (Strawberry, blueberry, raspberry, blackberry, gooseberry, cranberry) (4) What's strawberry shortcake? (Biscuit + berries + cream) (5) When are strawberries in season? (May-June). MC: taste test - fresh berry.</t>
  </si>
  <si>
    <t xml:space="preserve">Newspaper + Strawberry Recipe Read</t>
  </si>
  <si>
    <t xml:space="preserve">Read paper. Then read 3 strawberry recipe ideas aloud (shortcake, jam, smoothie). Word search: STRAW, BERRY, RED, RIPE, JAM, FIELD, PATCH, SHORTCAKE, CREAM, SUMMER.</t>
  </si>
  <si>
    <t xml:space="preserve">🎲 Game: Picture Bingo - Simplified 4x4 Bingo with picture cards (animals, flowers). Aide assists with marker placement. Small treats as prizes.
☕ Social: Reminiscence Circle - Pass familiar objects (rolling pin, dial phone, bonnet) around the circle. Each resident holds and shares any memory it sparks. Coffee and cookies.
🎵 Music: Familiar Songs Sing-Along - Hymns and standards from the 30s-50s ('Amazing Grace,' 'You Are My Sunshine'). Lyrics on large-print sheets. Volunteer pianist if available.
🍰 Food: Strawberry Shortcake Social - Pre-made shortcakes, fresh sliced strawberries, whipped cream. Residents assemble their own. Reminiscence: 'who in your family picked strawberries?' 60 min.
🎨 Crafts: Paint a Pre-Drawn Picture - Pre-printed coloring sheets of flowers/animals. Wide markers and watercolors. Display on the bulletin board.
🌿 Outdoor: Patio Sitting &amp; Birdwatching - Shaded patio. Bird feeders refilled. Soft music. Light snacks and lemonade. Walking residents can do a slow lap.</t>
  </si>
  <si>
    <t xml:space="preserve">Word Search: Strawberry Picking</t>
  </si>
  <si>
    <t xml:space="preserve">Today's themed word search (Strawberry Picking). Large-print version distributed at every table. Words: STRAWBERRY, BERRY, RED, RIPE, PATCH, FIELD, CREAM, JAM. 25 min. AL/IL: independent. MC: leader does it on a whiteboard with the group, calls out and points.</t>
  </si>
  <si>
    <t xml:space="preserve">Strawberry Sundae Wind-Down</t>
  </si>
  <si>
    <t xml:space="preserve">Strawberry sundae bar. Soft music. 45 min.</t>
  </si>
  <si>
    <t xml:space="preserve">May 21</t>
  </si>
  <si>
    <t xml:space="preserve">🇮🇹 TRAVEL DAY: Italy</t>
  </si>
  <si>
    <t xml:space="preserve">Italian Stretch &amp; Opera</t>
  </si>
  <si>
    <t xml:space="preserve">Stretch class with Italian opera in the background (Verdi, Puccini). 'Reaching for olives,' 'twirling pasta' fun motions. 25 min. Espresso scent diffused after class.</t>
  </si>
  <si>
    <t xml:space="preserve">ITALY TRAVEL DAY Trivia</t>
  </si>
  <si>
    <t xml:space="preserve">(TRAVEL TO ITALY!) (1) What's the capital of Italy? (Rome) (2) What city has gondolas? (Venice) (3) Name an Italian dish. (Pasta, pizza, risotto, lasagna, tiramisu) (4) What language is spoken in Italy? (Italian) (5) What ancient empire was based in Rome? (Roman Empire) (6) What's the Italian word for hello? (Ciao or Buongiorno). MC: show photos of Italian landmarks.</t>
  </si>
  <si>
    <t xml:space="preserve">Headlines + Italian Travel Section</t>
  </si>
  <si>
    <t xml:space="preserve">Read the morning paper. Then travel-section style read-aloud about Italy: Rome, Venice, Tuscany, Amalfi. Photos passed around. Italian phrases of the day on every table card.</t>
  </si>
  <si>
    <t xml:space="preserve">🇮🇹 Italian Music &amp; Espresso</t>
  </si>
  <si>
    <t xml:space="preserve">Italian opera and Andrea Bocelli. Espresso (or decaf). Photos of Tuscany on the screen. 30 min.</t>
  </si>
  <si>
    <t xml:space="preserve">🎲 Game: 🇮🇹 Italian Bingo (Italiano!) - Bingo with Italian-themed cards: La Pasta, Il Vino, Roma, Venezia, La Vespa, Il Gelato. Caller uses both English and Italian. 60 min.
☕ Social: 🇮🇹 Italian Espresso &amp; Cannoli - Espresso bar, cannoli, biscotti. Conversation. 60 min.
🎵 Music: 🇮🇹 Italian Sing-Along: 'That's Amore' - Italian classics: 'That's Amore,' 'Volare,' 'O Sole Mio.' Lyric sheets with phonetic Italian. Volunteer pianist. 60 min.
🍰 Food: 🇮🇹 Pasta Sauce Tasting Bar - Marinara, pesto, alfredo, vodka sauce - all over rotini. Garlic bread, Caesar salad. Tiramisu and cannoli for dessert. 75 min.
🎨 Crafts: 🇮🇹 Tuscan Watercolor Landscape - Step-by-step watercolor of a Tuscan hillside (cypress trees, olive grove, distant villa). Beginner-friendly. 60 min.
🌿 Outdoor: 🇮🇹 Patio Aperitivo - Italian aperitivo on patio: olives, cured meats (or vegetable antipasto for soft diets), Italian wine or sparkling lemonade. Italian music. 60 min.</t>
  </si>
  <si>
    <t xml:space="preserve">🇮🇹 Italian Word Find</t>
  </si>
  <si>
    <t xml:space="preserve">Word search with Italian words: CIAO, GRAZIE, PIZZA, PASTA, GELATO, ROMA, VENEZIA, AMORE, BUONGIORNO, ARRIVEDERCI. Plus pronunciation guide. 25 min.</t>
  </si>
  <si>
    <t xml:space="preserve">🇮🇹 Italian Cinema Night: 'Life Is Beautiful' (1997)</t>
  </si>
  <si>
    <t xml:space="preserve">PG-13, 116 min. Beloved Italian classic. Optional. Quieter alt: more Italian music + tiramisu in side lounge.</t>
  </si>
  <si>
    <t xml:space="preserve">May 22</t>
  </si>
  <si>
    <t xml:space="preserve">National Maritime Day &amp; National Vanilla Pudding Day</t>
  </si>
  <si>
    <t xml:space="preserve">Maritime Sing-Along Movement</t>
  </si>
  <si>
    <t xml:space="preserve">'Beyond the Sea,' 'Yellow Submarine.' Boat-rocking side-to-side. 20 min.</t>
  </si>
  <si>
    <t xml:space="preserve">Maritime &amp; Sailing Trivia</t>
  </si>
  <si>
    <t xml:space="preserve">(Maritime Day) (1) What's a 'starboard' side? (Right, when facing forward) (2) What does S.O.S. stand for? (Save Our Ship - international distress signal) (3) What ship hit an iceberg in 1912? (Titanic) (4) What's a 'lighthouse' for? (Warning ships of danger) (5) Who was the first to sail around the world? (Magellan's crew). MC: pass around shells, smooth stones.</t>
  </si>
  <si>
    <t xml:space="preserve">Newspaper + Maritime Day Word Search</t>
  </si>
  <si>
    <t xml:space="preserve">Read paper. Word search: SHIP, SAIL, ANCHOR, OCEAN, WAVE, CAPTAIN, BOAT, PORT, LIGHTHOUSE, COMPASS.</t>
  </si>
  <si>
    <t xml:space="preserve">🎲 Game: Picture Bingo - Simplified 4x4 Bingo with picture cards (animals, flowers). Aide assists with marker placement. Small treats as prizes.
☕ Social: Reminiscence Circle - Pass familiar objects (rolling pin, dial phone, bonnet) around the circle. Each resident holds and shares any memory it sparks. Coffee and cookies.
🎵 Music: Familiar Songs Sing-Along - Hymns and standards from the 30s-50s ('Amazing Grace,' 'You Are My Sunshine'). Lyrics on large-print sheets. Volunteer pianist if available.
🍰 Food: Vanilla Pudding Sundae Bar - Vanilla pudding cups, toppings: chocolate sprinkles, whipped cream, banana, crushed cookies.
🎨 Crafts: Paint a Pre-Drawn Picture - Pre-printed coloring sheets of flowers/animals. Wide markers and watercolors. Display on the bulletin board.
🌿 Outdoor: Patio Sitting &amp; Birdwatching - Shaded patio. Bird feeders refilled. Soft music. Light snacks and lemonade. Walking residents can do a slow lap.</t>
  </si>
  <si>
    <t xml:space="preserve">Word Search: Maritime Day</t>
  </si>
  <si>
    <t xml:space="preserve">Today's themed word search (Maritime Day). Large-print version distributed at every table. Words: SHIP, SAIL, OCEAN, WAVE, ANCHOR, CAPTAIN, BOAT, PORT. 25 min. AL/IL: independent. MC: leader does it on a whiteboard with the group, calls out and points.</t>
  </si>
  <si>
    <t xml:space="preserve">May 23</t>
  </si>
  <si>
    <t xml:space="preserve">National Lucky Penny Day &amp; World Turtle Day</t>
  </si>
  <si>
    <t xml:space="preserve">Walking Loop + Lucky Penny Hunt</t>
  </si>
  <si>
    <t xml:space="preserve">Pre-place pennies along the indoor walking route. Residents 'find' one. 20 min.</t>
  </si>
  <si>
    <t xml:space="preserve">Lucky Penny &amp; Turtles Trivia</t>
  </si>
  <si>
    <t xml:space="preserve">(1) Whose face is on the penny? (Lincoln) (2) When was the Lincoln penny first made? (1909) (3) What's the slowest land animal? (Sloth, then turtle) (4) How long do turtles live? (Some 100+ years) (5) What's the moral of 'Tortoise and the Hare'? (Slow and steady wins). MC: read the fable aloud.</t>
  </si>
  <si>
    <t xml:space="preserve">Newspaper + Penny Trivia</t>
  </si>
  <si>
    <t xml:space="preserve">Read paper. Trivia: 'Whose face is on the penny?' (Lincoln). 'What year did the Lincoln penny first appear?' (1909). 'How many cents in a 1909 penny today (in collector value)?' (varies, can be hundreds). Word scramble: PENNY, COIN, LINCOLN, COPPER, CENT, LUCK.</t>
  </si>
  <si>
    <t xml:space="preserve">🎲 Game: Turtle Day Slow-and-Steady Trivia - Tortoise-and-the-hare reading + trivia about patience and slow-but-steady wins.
☕ Social: Reminiscence Circle - Pass familiar objects (rolling pin, dial phone, bonnet) around the circle. Each resident holds and shares any memory it sparks. Coffee and cookies.
🎵 Music: Familiar Songs Sing-Along - Hymns and standards from the 30s-50s ('Amazing Grace,' 'You Are My Sunshine'). Lyrics on large-print sheets. Volunteer pianist if available.
🍰 Food: Cookie &amp; Milk Social - Sugar cookies and warm milk. Simple, comforting. Sit-down with one staff per 4 residents. Conversation prompts about childhood treats.
🎨 Crafts: Paint a Pre-Drawn Picture - Pre-printed coloring sheets of flowers/animals. Wide markers and watercolors. Display on the bulletin board.
🌿 Outdoor: Patio Sitting &amp; Birdwatching - Shaded patio. Bird feeders refilled. Soft music. Light snacks and lemonade. Walking residents can do a slow lap.</t>
  </si>
  <si>
    <t xml:space="preserve">Word Search: Lucky Penny / Turtle</t>
  </si>
  <si>
    <t xml:space="preserve">Today's themed word search (Lucky Penny / Turtle). Large-print version distributed at every table. Words: PENNY, LUCKY, COIN, TURTLE, SLOW, SHELL, POND, GREEN. 25 min. AL/IL: independent. MC: leader does it on a whiteboard with the group, calls out and points.</t>
  </si>
  <si>
    <t xml:space="preserve">May 24</t>
  </si>
  <si>
    <t xml:space="preserve">National Scavenger Hunt Day</t>
  </si>
  <si>
    <t xml:space="preserve">Sunday Calm Stretch + Quiet Time</t>
  </si>
  <si>
    <t xml:space="preserve">Quiet 20 min stretch + reflection music.</t>
  </si>
  <si>
    <t xml:space="preserve">Scavenger &amp; Discovery Trivia</t>
  </si>
  <si>
    <t xml:space="preserve">(Scavenger Hunt Day) (1) What's a 'scavenger'? (One who searches and finds discarded items) (2) What animal scavenges in the wild? (Vulture, hyena) (3) Who explored North America in 1492? (Columbus) (4) What's the equivalent of a scavenger hunt for adults? (Geocaching) (5) What's a 'find' in archaeology? (An important discovery). MC: simple I-Spy in the room.</t>
  </si>
  <si>
    <t xml:space="preserve">Sunday Paper + Scavenger Hunt Word List</t>
  </si>
  <si>
    <t xml:space="preserve">National Scavenger Hunt Day. After comics, distribute a 10-item visual scavenger hunt - things to find around the facility on a walk: red flower, framed photo, wood chair, blue book, etc. Residents who can't walk can identify items in the room. Bring back to share.</t>
  </si>
  <si>
    <t xml:space="preserve">Sunday Reflection Hour</t>
  </si>
  <si>
    <t xml:space="preserve">Quiet Sunday before Memorial Day. Soft music, optional reflection or chaplain. 30 min.</t>
  </si>
  <si>
    <t xml:space="preserve">🎲 Game: Picture Bingo - Simplified 4x4 Bingo with picture cards (animals, flowers). Aide assists with marker placement. Small treats as prizes.
☕ Social: Reminiscence Circle - Pass familiar objects (rolling pin, dial phone, bonnet) around the circle. Each resident holds and shares any memory it sparks. Coffee and cookies.
🎵 Music: Familiar Songs Sing-Along - Hymns and standards from the 30s-50s ('Amazing Grace,' 'You Are My Sunshine'). Lyrics on large-print sheets. Volunteer pianist if available.
🍰 Food: Cookie &amp; Milk Social - Sugar cookies and warm milk. Simple, comforting. Sit-down with one staff per 4 residents. Conversation prompts about childhood treats.
🎨 Crafts: Paint a Pre-Drawn Picture - Pre-printed coloring sheets of flowers/animals. Wide markers and watercolors. Display on the bulletin board.
🌿 Outdoor: Indoor Scavenger Hunt + Ice Cream - Pre-planned facility scavenger hunt with helpers. Ice cream cones at the end.</t>
  </si>
  <si>
    <t xml:space="preserve">Word Search: Scavenger Hunt</t>
  </si>
  <si>
    <t xml:space="preserve">Today's themed word search (Scavenger Hunt). Large-print version distributed at every table. Words: HUNT, FIND, CLUE, LIST, GAME, TEAM, PRIZE, QUEST. 25 min. AL/IL: independent. MC: leader does it on a whiteboard with the group, calls out and points.</t>
  </si>
  <si>
    <t xml:space="preserve">May 25</t>
  </si>
  <si>
    <t xml:space="preserve">MEMORIAL DAY &amp; National Wine Day</t>
  </si>
  <si>
    <t xml:space="preserve">Patriotic Movement + Hand on Heart</t>
  </si>
  <si>
    <t xml:space="preserve">Memorial Day. 'God Bless America,' 'America the Beautiful.' Saluting drills. 25 min.</t>
  </si>
  <si>
    <t xml:space="preserve">Memorial Day Trivia</t>
  </si>
  <si>
    <t xml:space="preserve">(Memorial Day) (1) When is Memorial Day? (Last Monday of May) (2) What flower is associated? (Red poppy) (3) Why poppies? (From the WWI battlefield poem) (4) Who wrote 'In Flanders Fields'? (John McCrae, 1915) (5) What national cemetery is in Virginia? (Arlington). MC: moment of silence at noon.</t>
  </si>
  <si>
    <t xml:space="preserve">Newspaper + Memorial Day Reading</t>
  </si>
  <si>
    <t xml:space="preserve">Read paper. Read 'In Flanders Fields' poem aloud. Word search: HONOR, REMEMBER, FLAG, POPPY, VETERAN, SERVICE, BRAVE, STARS, STRIPES, FREEDOM.</t>
  </si>
  <si>
    <t xml:space="preserve">Veterans Reflection Hour</t>
  </si>
  <si>
    <t xml:space="preserve">Quiet patriotic music. Photos of veteran residents. Tissues. Brief moment of silence at 1:45 PM. 30 min.</t>
  </si>
  <si>
    <t xml:space="preserve">🎲 Game: Picture Bingo - Simplified 4x4 Bingo with picture cards (animals, flowers). Aide assists with marker placement. Small treats as prizes.
☕ Social: Memorial Day Cookout &amp; Remembrance - All-facility cookout. Hot dogs, hamburgers, watermelon. Moment of silence at noon. Veterans honored.
🎵 Music: Familiar Songs Sing-Along - Hymns and standards from the 30s-50s ('Amazing Grace,' 'You Are My Sunshine'). Lyrics on large-print sheets. Volunteer pianist if available.
🍰 Food: Cookie &amp; Milk Social - Sugar cookies and warm milk. Simple, comforting. Sit-down with one staff per 4 residents. Conversation prompts about childhood treats.
🎨 Crafts: Paint a Pre-Drawn Picture - Pre-printed coloring sheets of flowers/animals. Wide markers and watercolors. Display on the bulletin board.
🌿 Outdoor: Outdoor Lawn Games + Cookout - Horseshoes (rubber), corn-hole, lawn bowling. Patriotic music.</t>
  </si>
  <si>
    <t xml:space="preserve">Memorial Day Word Find</t>
  </si>
  <si>
    <t xml:space="preserve">Memorial Day. Word search: HONOR, BRAVE, FLAG, POPPY, VETERAN, FREEDOM, STARS, STRIPES, REMEMBER, SERVICE. 25 min. Quiet, reflective.</t>
  </si>
  <si>
    <t xml:space="preserve">Memorial Day Music Reflection</t>
  </si>
  <si>
    <t xml:space="preserve">Patriotic music played softly. Photos of veterans. Tissues. 45 min.</t>
  </si>
  <si>
    <t xml:space="preserve">May 26</t>
  </si>
  <si>
    <t xml:space="preserve">National Blueberry Cheesecake Day &amp; National Paper Airplane Day</t>
  </si>
  <si>
    <t xml:space="preserve">Easy Full Body Stretch</t>
  </si>
  <si>
    <t xml:space="preserve">Recover from yesterday. Easy listening music. 20 min.</t>
  </si>
  <si>
    <t xml:space="preserve">Blueberry &amp; Paper Airplane Trivia</t>
  </si>
  <si>
    <t xml:space="preserve">(1) What's the world's record paper airplane flight? (252 feet, 2012) (2) Who invented paper airplanes? (Unknown - very old) (3) Where do blueberries grow best? (Maine, Michigan, Oregon, NJ) (4) Are blueberries native to North America? (Yes - the only major fruit native here) (5) What's a 'cheesecake'? (A baked or no-bake dessert with cream cheese filling). MC: try folding a paper plane.</t>
  </si>
  <si>
    <t xml:space="preserve">Newspaper + Paper Airplane Folding</t>
  </si>
  <si>
    <t xml:space="preserve">National Paper Airplane Day. Read paper. Then fold simple paper airplanes (basic dart, instructions printed large). Have a tabletop flight contest. SN: pre-folded planes given to throw.</t>
  </si>
  <si>
    <t xml:space="preserve">🎲 Game: Picture Bingo - Simplified 4x4 Bingo with picture cards (animals, flowers). Aide assists with marker placement. Small treats as prizes.
☕ Social: Reminiscence Circle - Pass familiar objects (rolling pin, dial phone, bonnet) around the circle. Each resident holds and shares any memory it sparks. Coffee and cookies.
🎵 Music: Familiar Songs Sing-Along - Hymns and standards from the 30s-50s ('Amazing Grace,' 'You Are My Sunshine'). Lyrics on large-print sheets. Volunteer pianist if available.
🍰 Food: Blueberry Cheesecake Social - Pre-made blueberry cheesecake. Coffee, tea. Reminiscence: 'who in your family made the best cheesecake?' Cooking demo: blueberry topping. 60 min.
🎨 Crafts: Paper Airplane Folding + Flight Contest - Fold simple paper darts. Tabletop flight contest.
🌿 Outdoor: Patio Sitting &amp; Birdwatching - Shaded patio. Bird feeders refilled. Soft music. Light snacks and lemonade. Walking residents can do a slow lap.</t>
  </si>
  <si>
    <t xml:space="preserve">Word Search: Paper Airplane / Cake</t>
  </si>
  <si>
    <t xml:space="preserve">Today's themed word search (Paper Airplane / Cake). Large-print version distributed at every table. Words: PAPER, PLANE, FOLD, FLY, DART, WING, GLIDE, BLUE. 25 min. AL/IL: independent. MC: leader does it on a whiteboard with the group, calls out and points.</t>
  </si>
  <si>
    <t xml:space="preserve">May 27</t>
  </si>
  <si>
    <t xml:space="preserve">National Grape Popsicle Day &amp; Sun Screen Day</t>
  </si>
  <si>
    <t xml:space="preserve">Gentle Sun Salutation (Seated)</t>
  </si>
  <si>
    <t xml:space="preserve">Arms up reach, forward fold. Repeat x5. Warm sunny music. 20 min.</t>
  </si>
  <si>
    <t xml:space="preserve">Sun &amp; Summer Trivia</t>
  </si>
  <si>
    <t xml:space="preserve">(Sun Screen Day) (1) What's SPF? (Sun Protection Factor) (2) What planet are we on? (Earth - the third from the Sun) (3) Hottest U.S. desert? (Death Valley, California) (4) What month does summer start? (June 21 - solstice) (5) What sun-related term means 'longest day'? (Solstice). MC: feel sunshine on patio.</t>
  </si>
  <si>
    <t xml:space="preserve">Newspaper + Sun &amp; Skin Care Tips</t>
  </si>
  <si>
    <t xml:space="preserve">Sun Screen Day. Read paper. Skin care tip-share: residents share their sun and skin remedies (Pond's cold cream, Vaseline, calamine for sunburns). Word search: SUN, SKIN, HAT, SHADE, COOL, BURN, LOTION, BREEZE, PORCH, ICE.</t>
  </si>
  <si>
    <t xml:space="preserve">🎲 Game: Picture Bingo - Simplified 4x4 Bingo with picture cards (animals, flowers). Aide assists with marker placement. Small treats as prizes.
☕ Social: Reminiscence Circle - Pass familiar objects (rolling pin, dial phone, bonnet) around the circle. Each resident holds and shares any memory it sparks. Coffee and cookies.
🎵 Music: Familiar Songs Sing-Along - Hymns and standards from the 30s-50s ('Amazing Grace,' 'You Are My Sunshine'). Lyrics on large-print sheets. Volunteer pianist if available.
🍰 Food: Cookie &amp; Milk Social - Sugar cookies and warm milk. Simple, comforting. Sit-down with one staff per 4 residents. Conversation prompts about childhood treats.
🎨 Crafts: Paint a Pre-Drawn Picture - Pre-printed coloring sheets of flowers/animals. Wide markers and watercolors. Display on the bulletin board.
🌿 Outdoor: Patio Time + Grape Popsicles - Shaded patio. Grape popsicles. Sunscreen check by staff.</t>
  </si>
  <si>
    <t xml:space="preserve">Word Search: Sun &amp; Sun Screen</t>
  </si>
  <si>
    <t xml:space="preserve">Today's themed word search (Sun &amp; Sun Screen). Large-print version distributed at every table. Words: SUN, SHADE, HAT, LOTION, COOL, BREEZE, PORCH, ICE. 25 min. AL/IL: independent. MC: leader does it on a whiteboard with the group, calls out and points.</t>
  </si>
  <si>
    <t xml:space="preserve">May 28</t>
  </si>
  <si>
    <t xml:space="preserve">National Hamburger Day &amp; Senior Health &amp; Fitness Day</t>
  </si>
  <si>
    <t xml:space="preserve">Health Fair Warm-Up</t>
  </si>
  <si>
    <t xml:space="preserve">Light 15-min warm-up before Senior Health Fair. Range-of-motion.</t>
  </si>
  <si>
    <t xml:space="preserve">Hamburger &amp; Burger Trivia</t>
  </si>
  <si>
    <t xml:space="preserve">(Hamburger Day) (1) Where did the hamburger originate? (Hamburg, Germany or U.S. - debated) (2) What's a 'slider'? (Small burger) (3) White Castle started in what year? (1921) (4) What's the U.S. fast-food burger sales leader? (McDonald's) (5) What's the difference between a burger and a hamburger? (Same thing - just shortened). MC: smell test - grilled meat.</t>
  </si>
  <si>
    <t xml:space="preserve">Newspaper + Health Tips Trivia</t>
  </si>
  <si>
    <t xml:space="preserve">Read paper. Trivia: '8 glasses of what per day?' (water). 'How many minutes of walking is recommended per day?' (~30). 'What food is called nature's candy?' (fruit). Word search: HEALTH, WATER, WALK, REST, SMILE, LAUGH, FRIEND, HOPE, JOY, PEACE.</t>
  </si>
  <si>
    <t xml:space="preserve">🎲 Game: Picture Bingo - Simplified 4x4 Bingo with picture cards (animals, flowers). Aide assists with marker placement. Small treats as prizes.
☕ Social: Senior Health &amp; Fitness Fair - Multi-station fair: BP check, hand-grip strength, hydration ed, brain games, chair yoga.
🎵 Music: Familiar Songs Sing-Along - Hymns and standards from the 30s-50s ('Amazing Grace,' 'You Are My Sunshine'). Lyrics on large-print sheets. Volunteer pianist if available.
🍰 Food: Mini Slider Bar - Build-your-own slider station. Mini buns, several patties, condiments, cheese. Side of fries or potato chips. Root beer floats for dessert. 60 min.
🎨 Crafts: Paint a Pre-Drawn Picture - Pre-printed coloring sheets of flowers/animals. Wide markers and watercolors. Display on the bulletin board.
🌿 Outdoor: Patio Sitting &amp; Birdwatching - Shaded patio. Bird feeders refilled. Soft music. Light snacks and lemonade. Walking residents can do a slow lap.</t>
  </si>
  <si>
    <t xml:space="preserve">Word Search: Hamburger Day</t>
  </si>
  <si>
    <t xml:space="preserve">Today's themed word search (Hamburger Day). Large-print version distributed at every table. Words: BURGER, BUN, BEEF, GRILL, CHEESE, PICKLE, FRIES, KETCHUP. 25 min. AL/IL: independent. MC: leader does it on a whiteboard with the group, calls out and points.</t>
  </si>
  <si>
    <t xml:space="preserve">May 29</t>
  </si>
  <si>
    <t xml:space="preserve">JFK's Birthday &amp; National Coq au Vin Day</t>
  </si>
  <si>
    <t xml:space="preserve">Camelot Era Seated Dance</t>
  </si>
  <si>
    <t xml:space="preserve">1960s music. Glamorous theme. 20 min.</t>
  </si>
  <si>
    <t xml:space="preserve">1960s &amp; JFK Trivia</t>
  </si>
  <si>
    <t xml:space="preserve">(JFK Birthday) (1) What was JFK's middle name? (Fitzgerald) (2) What state was he from? (Massachusetts) (3) What year was he assassinated? (1963) (4) Who was the first man on the moon? (Armstrong, 1969) (5) Name a 1960s music event. (Woodstock - 1969). MC: 1960s music plays softly.</t>
  </si>
  <si>
    <t xml:space="preserve">Newspaper + JFK Reminiscence Word List</t>
  </si>
  <si>
    <t xml:space="preserve">Read paper. Brief JFK history: 35th president, born 1917, Camelot era. Reminiscence prompt: 'where were you when you heard JFK was elected/shot?' Be sensitive. Word list: PRESIDENT, AMERICA, BOSTON, NAVY, INSPIRE, SPEECH, HOPE, FREEDOM.</t>
  </si>
  <si>
    <t xml:space="preserve">🎲 Game: Picture Bingo - Simplified 4x4 Bingo with picture cards (animals, flowers). Aide assists with marker placement. Small treats as prizes.
☕ Social: Reminiscence Circle - Pass familiar objects (rolling pin, dial phone, bonnet) around the circle. Each resident holds and shares any memory it sparks. Coffee and cookies.
🎵 Music: 60s Sing-Along + Pastries - 1960s music sing-along. Coffee and pastries.
🍰 Food: Cookie &amp; Milk Social - Sugar cookies and warm milk. Simple, comforting. Sit-down with one staff per 4 residents. Conversation prompts about childhood treats.
🎨 Crafts: Paint a Pre-Drawn Picture - Pre-printed coloring sheets of flowers/animals. Wide markers and watercolors. Display on the bulletin board.
🌿 Outdoor: Patio Sitting &amp; Birdwatching - Shaded patio. Bird feeders refilled. Soft music. Light snacks and lemonade. Walking residents can do a slow lap.</t>
  </si>
  <si>
    <t xml:space="preserve">Word Search: 60s Decade</t>
  </si>
  <si>
    <t xml:space="preserve">Today's themed word search (60s Decade). Large-print version distributed at every table. Words: BEATLES, PEACE, HIPPIE, MUSIC, SIXTIES, CAMELOT, MOON, TWIST. 25 min. AL/IL: independent. MC: leader does it on a whiteboard with the group, calls out and points.</t>
  </si>
  <si>
    <t xml:space="preserve">May 30</t>
  </si>
  <si>
    <t xml:space="preserve">National Mint Julep Day</t>
  </si>
  <si>
    <t xml:space="preserve">Country Movement Saturday</t>
  </si>
  <si>
    <t xml:space="preserve">Light upbeat seated dance to country. 20 min.</t>
  </si>
  <si>
    <t xml:space="preserve">Mint Julep &amp; Drinks Trivia</t>
  </si>
  <si>
    <t xml:space="preserve">(Mint Julep Day) (1) What 4 ingredients in a mint julep? (Mint, sugar, bourbon, crushed ice) (2) What state is the official home? (Kentucky) (3) What's the Derby's official cup? (Silver mint julep cup) (4) Name a non-alcoholic version. (Mint lemonade) (5) What's 'muddling' in cocktails? (Crushing herbs and sugar). MC: serve mint lemonade and smell mint.</t>
  </si>
  <si>
    <t xml:space="preserve">Newspaper + Mint Julep Recipe Read</t>
  </si>
  <si>
    <t xml:space="preserve">Read paper. Read mint julep recipe aloud (mint, sugar, bourbon, crushed ice - non-alcoholic version uses ginger ale). Word search: MINT, JULEP, ICE, GLASS, BOURBON, SUGAR, KENTUCKY, DERBY, ROSES, HORSE.</t>
  </si>
  <si>
    <t xml:space="preserve">🎲 Game: Picture Bingo - Simplified 4x4 Bingo with picture cards (animals, flowers). Aide assists with marker placement. Small treats as prizes.
☕ Social: Reminiscence Circle - Pass familiar objects (rolling pin, dial phone, bonnet) around the circle. Each resident holds and shares any memory it sparks. Coffee and cookies.
🎵 Music: Familiar Songs Sing-Along - Hymns and standards from the 30s-50s ('Amazing Grace,' 'You Are My Sunshine'). Lyrics on large-print sheets. Volunteer pianist if available.
🍰 Food: Mint Lemonade + Saturday Card Tournament - Mint lemonade ('non-alcoholic julep'). Card games. Whiteboard leaderboard.
🎨 Crafts: Paint a Pre-Drawn Picture - Pre-printed coloring sheets of flowers/animals. Wide markers and watercolors. Display on the bulletin board.
🌿 Outdoor: Patio Sitting &amp; Birdwatching - Shaded patio. Bird feeders refilled. Soft music. Light snacks and lemonade. Walking residents can do a slow lap.</t>
  </si>
  <si>
    <t xml:space="preserve">Word Search: Mint Julep / Derby Closing</t>
  </si>
  <si>
    <t xml:space="preserve">Today's themed word search (Mint Julep / Derby Closing). Large-print version distributed at every table. Words: MINT, JULEP, ICE, GLASS, SUGAR, SOUTHERN, HORSE, DERBY. 25 min. AL/IL: independent. MC: leader does it on a whiteboard with the group, calls out and points.</t>
  </si>
  <si>
    <t xml:space="preserve">May 31</t>
  </si>
  <si>
    <t xml:space="preserve">National Macaroon Day</t>
  </si>
  <si>
    <t xml:space="preserve">Closing Stretch + Thank You Circle</t>
  </si>
  <si>
    <t xml:space="preserve">Last day of May. 20 min stretch. Each resident shares one favorite thing from the month.</t>
  </si>
  <si>
    <t xml:space="preserve">May in Review Trivia</t>
  </si>
  <si>
    <t xml:space="preserve">(Closing the Month) (1) What major holiday closed May? (Memorial Day) (2) What flower symbolizes May? (Lily of the valley or rose) (3) What horse race was the first Saturday? (Kentucky Derby) (4) Where did we 'travel' on May 21? (Italy) (5) What was the most fun moment for you this month? (Open). MC: photo slideshow of May moments.</t>
  </si>
  <si>
    <t xml:space="preserve">Sunday Comics + 'Goodbye May' Word List</t>
  </si>
  <si>
    <t xml:space="preserve">Sunday comics. Word list closing the month: MAY, MEMORY, MOTHER, MEMORIAL, BLOOM, BERRY, BREEZE, BIRD. Each resident chooses one word and shares why.</t>
  </si>
  <si>
    <t xml:space="preserve">May in Review Slideshow</t>
  </si>
  <si>
    <t xml:space="preserve">Photo slideshow on TV of moments from May. Soft music. Tea. 30 min.</t>
  </si>
  <si>
    <t xml:space="preserve">🎲 Game: Picture Bingo - Simplified 4x4 Bingo with picture cards (animals, flowers). Aide assists with marker placement. Small treats as prizes.
☕ Social: Reminiscence Circle - Pass familiar objects (rolling pin, dial phone, bonnet) around the circle. Each resident holds and shares any memory it sparks. Coffee and cookies.
🎵 Music: Familiar Songs Sing-Along - Hymns and standards from the 30s-50s ('Amazing Grace,' 'You Are My Sunshine'). Lyrics on large-print sheets. Volunteer pianist if available.
🍰 Food: Macaroon &amp; Tea Closing Social - French and coconut macaroons. Tea service. Soft music. Photo slideshow of May. 60 min.
🎨 Crafts: Paint a Pre-Drawn Picture - Pre-printed coloring sheets of flowers/animals. Wide markers and watercolors. Display on the bulletin board.
🌿 Outdoor: Patio Sitting &amp; Birdwatching - Shaded patio. Bird feeders refilled. Soft music. Light snacks and lemonade. Walking residents can do a slow lap.</t>
  </si>
  <si>
    <t xml:space="preserve">Word Search: Macaroon &amp; May Closing</t>
  </si>
  <si>
    <t xml:space="preserve">Today's themed word search (Macaroon &amp; May Closing). Large-print version distributed at every table. Words: MACAROON, MAY, MEMORY, MOTHER, MEMORIAL, BLOOM, BERRY, BREEZE. 25 min. AL/IL: independent. MC: leader does it on a whiteboard with the group, calls out and points.</t>
  </si>
  <si>
    <t xml:space="preserve">May Closing Music Hour</t>
  </si>
  <si>
    <t xml:space="preserve">Photo slideshow + music from the month. Tea. 45 min.</t>
  </si>
  <si>
    <t xml:space="preserve">Chair Yoga: Spring Awakening</t>
  </si>
  <si>
    <t xml:space="preserve">Gentle 25-min seated yoga sequence with a flower-and-garden visualization. Focus on shoulder rolls, neck stretches, hip openers. Bring a fresh flower for each resident to hold during closing breath. AL: standing balance pose option. MC: leader demonstrates each move slowly, repeats cues. SN: passive range-of-motion assistance for those who need it.</t>
  </si>
  <si>
    <t xml:space="preserve">Quiet Reading Hour</t>
  </si>
  <si>
    <t xml:space="preserve">Newspapers, magazines, large-print books. Coffee available. Soft background music. 30 min.</t>
  </si>
  <si>
    <t xml:space="preserve">🎲 Game: Bingo - Standard 30-min Bingo. Large-print cards. Caller speaks loudly and clearly. Prizes: small toiletries, costume jewelry, candy.
☕ Social: Coffee &amp; Conversation Hour - Pot of coffee, tea, cookies. Open-table format. Activity director suggests a conversation topic.
🎵 Music: Decade Sing-Along - Lyric sheets to favorites from the 50s-70s. Volunteer pianist or recorded music. 60 min.
🍰 Food: Themed Snack Bar - Build-your-own snack bar (sundae, trail mix, crackers + cheese). Light refreshment hour.
🎨 Crafts: May Basket Decorating - Decorate paper cones. Fill with flowers and a candy. Hang on neighbors' doors. AL: full participation.
🌿 Outdoor: Garden Stroll &amp; Bench Time - Outdoor walking club through the gardens. Stop at benches. Identify flowers along the way.</t>
  </si>
  <si>
    <t xml:space="preserve">'Driving Miss Daisy' (1989) - Wind Down</t>
  </si>
  <si>
    <t xml:space="preserve">Soft popcorn, lemonade, lights dim. Optional. Quieter alternative in side lounge: cards, soft music.</t>
  </si>
  <si>
    <t xml:space="preserve">Derby Day Warm-Up</t>
  </si>
  <si>
    <t xml:space="preserve">Themed energizer: 'horses at the gate' marching in place 1 min, 'reaching for the roses' overhead reach x10, 'galloping arms' alternating reach x20, ankle circles, seated kicks. End with 'Photo finish!' freeze pose. Play 'Camptown Races' as background. ~25 min.</t>
  </si>
  <si>
    <t xml:space="preserve">🎲 Game: Derby Trivia + Mock Betting - Trivia about famous racehorses. Mock $1 betting slips with poker chips.
☕ Social: Coffee &amp; Conversation Hour - Pot of coffee, tea, cookies. Open-table format. Activity director suggests a conversation topic.
🎵 Music: Decade Sing-Along - Lyric sheets to favorites from the 50s-70s. Volunteer pianist or recorded music. 60 min.
🍰 Food: Themed Snack Bar - Build-your-own snack bar (sundae, trail mix, crackers + cheese). Light refreshment hour.
🎨 Crafts: Derby Hat Workshop - Decorate paper sun-hats with ribbons, silk flowers, feathers. Photo for bulletin board. Mint lemonade served.
🌿 Outdoor: Garden Stroll &amp; Bench Time - Outdoor walking club through the gardens. Stop at benches. Identify flowers along the way.</t>
  </si>
  <si>
    <t xml:space="preserve">Kentucky Derby Watch Party (live TV) - Wind Down</t>
  </si>
  <si>
    <t xml:space="preserve">Sunday Stretch &amp; Hymn Hour</t>
  </si>
  <si>
    <t xml:space="preserve">Slow seated stretch sequence to gospel music ('Amazing Grace,' 'How Great Thou Art'). 20 minutes - this is a calmer Sunday pace. Optional Bible reading for those who wish. Ends with deep breathing.</t>
  </si>
  <si>
    <t xml:space="preserve">🎲 Game: Bingo - Standard 30-min Bingo. Large-print cards. Caller speaks loudly and clearly. Prizes: small toiletries, costume jewelry, candy.
☕ Social: Coffee &amp; Conversation Hour - Pot of coffee, tea, cookies. Open-table format. Activity director suggests a conversation topic.
🎵 Music: Decade Sing-Along - Lyric sheets to favorites from the 50s-70s. Volunteer pianist or recorded music. 60 min.
🍰 Food: Themed Snack Bar - Build-your-own snack bar (sundae, trail mix, crackers + cheese). Light refreshment hour.
🎨 Crafts: Card-Making for Family - Pre-cut blank cards, markers, stickers, glitter glue. Residents make cards for family members.
🌿 Outdoor: Garden Meditation &amp; Plant Potting - Small terra-cotta pots, marigold seedlings. Each resident plants their own. Soft music. Take to room. </t>
  </si>
  <si>
    <t xml:space="preserve">Sing-Along Hour</t>
  </si>
  <si>
    <t xml:space="preserve">Volunteer pianist or recorded music. Lyric sheets. Mix of decades. 60 min.</t>
  </si>
  <si>
    <t xml:space="preserve">Star Wars 'Jedi Training' Stretch</t>
  </si>
  <si>
    <t xml:space="preserve">Lighthearted theme - residents are 'Jedi knights' warming up. Lightsaber (pool noodle) reach moves: high reach, side reach, big circles. 'Force push' deep breath x5. 'Yoda balance' single-leg stand at chair. ~25 min. Play the Star Wars main theme.</t>
  </si>
  <si>
    <t xml:space="preserve">Coloring &amp; Tea</t>
  </si>
  <si>
    <t xml:space="preserve">Adult coloring books, colored pencils. Tea and biscuits. 30 min.</t>
  </si>
  <si>
    <t xml:space="preserve">🎲 Game: Bingo - Standard 30-min Bingo. Large-print cards. Caller speaks loudly and clearly. Prizes: small toiletries, costume jewelry, candy.
☕ Social: Coffee &amp; Conversation Hour - Pot of coffee, tea, cookies. Open-table format. Activity director suggests a conversation topic.
🎵 Music: Decade Sing-Along - Lyric sheets to favorites from the 50s-70s. Volunteer pianist or recorded music. 60 min.
🍰 Food: Themed Snack Bar - Build-your-own snack bar (sundae, trail mix, crackers + cheese). Light refreshment hour.
🎨 Crafts: Card-Making for Family - Pre-cut blank cards, markers, stickers, glitter glue. Residents make cards for family members.
🌿 Outdoor: Garden Stroll &amp; Bench Time - Outdoor walking club through the gardens. Stop at benches. Identify flowers along the way.</t>
  </si>
  <si>
    <t xml:space="preserve">Movie + Popcorn</t>
  </si>
  <si>
    <t xml:space="preserve">75-90 min feature film (see library tab for picks). Popcorn. Lights dim.</t>
  </si>
  <si>
    <t xml:space="preserve">Salsa Dance Movement (Seated)</t>
  </si>
  <si>
    <t xml:space="preserve">Lively chair salsa to traditional Mexican music. Hip rocks, shoulder shimmies, arm flourishes, hand claps in rhythm. ~25 min. Maracas if available. Energizing and bright - great for Cinco de Mayo morning.</t>
  </si>
  <si>
    <t xml:space="preserve">Birdwatching Hour</t>
  </si>
  <si>
    <t xml:space="preserve">Window-side seats, binoculars, bird ID guide. Or outdoor patio if weather allows. 30 min.</t>
  </si>
  <si>
    <t xml:space="preserve">🎲 Game: Loteria (Mexican Bingo) - Picture cards instead of numbers. Beans for markers.
☕ Social: Cinco de Mayo Fiesta - Mariachi music, paper banners, agua fresca, guacamole+chips (or tortilla pinwheels for soft diets).
🎵 Music: Decade Sing-Along - Lyric sheets to favorites from the 50s-70s. Volunteer pianist or recorded music. 60 min.
🍰 Food: Taco / Quesadilla Bar - Build your own taco or quesadilla bar. Mild salsa. Churros for dessert.
🎨 Crafts: Card-Making for Family - Pre-cut blank cards, markers, stickers, glitter glue. Residents make cards for family members.
🌿 Outdoor: Garden Stroll &amp; Bench Time - Outdoor walking club through the gardens. Stop at benches. Identify flowers along the way.</t>
  </si>
  <si>
    <t xml:space="preserve">Music &amp; Conversation Lounge</t>
  </si>
  <si>
    <t xml:space="preserve">Soft jazz or standards. Coffee, tea, light snacks. Open conversation. 75 min.</t>
  </si>
  <si>
    <t xml:space="preserve">Resistance Band Workout: Strong Like a Nurse</t>
  </si>
  <si>
    <t xml:space="preserve">In honor of Nurses Day. 25 min seated resistance band workout: bicep curls x10, rows x10, chest press x10, leg extensions x10. Light bands only. Honor any former-nurse residents in the group with a thank you.</t>
  </si>
  <si>
    <t xml:space="preserve">Letter Writing Hour</t>
  </si>
  <si>
    <t xml:space="preserve">Stationery, pens, stamps. Write to family, old friends, grandchildren. Staff helps with addresses if needed. 30 min.</t>
  </si>
  <si>
    <t xml:space="preserve">🎲 Game: Bingo - Standard 30-min Bingo. Large-print cards. Caller speaks loudly and clearly. Prizes: small toiletries, costume jewelry, candy.
☕ Social: Coffee &amp; Conversation Hour - Pot of coffee, tea, cookies. Open-table format. Activity director suggests a conversation topic.
🎵 Music: Decade Sing-Along - Lyric sheets to favorites from the 50s-70s. Volunteer pianist or recorded music. 60 min.
🍰 Food: Themed Snack Bar - Build-your-own snack bar (sundae, trail mix, crackers + cheese). Light refreshment hour.
🎨 Crafts: Make-a-Card for Nurses - Cards for facility nurses or local hospital staff. Activity director delivers.
🌿 Outdoor: Garden Stroll &amp; Bench Time - Outdoor walking club through the gardens. Stop at benches. Identify flowers along the way.</t>
  </si>
  <si>
    <t xml:space="preserve">Game Lounge: Cards &amp; Conversation</t>
  </si>
  <si>
    <t xml:space="preserve">Skip-Bo, UNO, Rummy at multiple tables. Music in background. Snacks. 75 min.</t>
  </si>
  <si>
    <t xml:space="preserve">Walking Club: Indoor Lap or Garden Stroll</t>
  </si>
  <si>
    <t xml:space="preserve">30 min walking club. Indoor hallway loop or outdoor garden if weather is nice. Pair walkers with non-walking residents who can be wheeled along to socialize. Stop for photos and identifying flowers along the way.</t>
  </si>
  <si>
    <t xml:space="preserve">🎲 Game: Bingo - Standard 30-min Bingo. Large-print cards. Caller speaks loudly and clearly. Prizes: small toiletries, costume jewelry, candy.
☕ Social: Coffee &amp; Conversation Hour - Pot of coffee, tea, cookies. Open-table format. Activity director suggests a conversation topic.
🎵 Music: Decade Sing-Along - Lyric sheets to favorites from the 50s-70s. Volunteer pianist or recorded music. 60 min.
🍰 Food: Greek Mezze Tasting - Hummus, pita bread, olives, feta, grape leaves. Greek music. 60 min.
🎨 Crafts: Card-Making for Family - Pre-cut blank cards, markers, stickers, glitter glue. Residents make cards for family members.
🌿 Outdoor: Garden Stroll &amp; Bench Time - Outdoor walking club through the gardens. Stop at benches. Identify flowers along the way.</t>
  </si>
  <si>
    <t xml:space="preserve">'On Golden Pond' (1981) - Wind Down</t>
  </si>
  <si>
    <t xml:space="preserve">Dance Movement: Big Band Era</t>
  </si>
  <si>
    <t xml:space="preserve">20 min seated dance to swing/Big Band hits (Glenn Miller, Tommy Dorsey, the Andrews Sisters). Honors V-E Day. Hand-claps, shoulder shimmies, march in place. End with the 'Boogie Woogie Bugle Boy' for fun.</t>
  </si>
  <si>
    <t xml:space="preserve">🎲 Game: Bingo - Standard 30-min Bingo. Large-print cards. Caller speaks loudly and clearly. Prizes: small toiletries, costume jewelry, candy.
☕ Social: Mother's Day Tea (Pre-Celebration) - Linen tablecloths, china teacups, finger sandwiches, scones with jam, lemon bars. Honor every female resident. Fresh corsages.
🎵 Music: Decade Sing-Along - Lyric sheets to favorites from the 50s-70s. Volunteer pianist or recorded music. 60 min.
🍰 Food: Themed Snack Bar - Build-your-own snack bar (sundae, trail mix, crackers + cheese). Light refreshment hour.
🎨 Crafts: Card-Making for Family - Pre-cut blank cards, markers, stickers, glitter glue. Residents make cards for family members.
🌿 Outdoor: Garden Stroll &amp; Bench Time - Outdoor walking club through the gardens. Stop at benches. Identify flowers along the way.</t>
  </si>
  <si>
    <t xml:space="preserve">Mother's Day Tea wind-down with soft music - Wind Down</t>
  </si>
  <si>
    <t xml:space="preserve">Marching Band Movement</t>
  </si>
  <si>
    <t xml:space="preserve">National Train Day - 'all aboard' theme. Marching in place, arm-pumping like a train conductor, big breath 'whistle' on the count of 5. Play train-themed music: 'Chattanooga Choo Choo,' 'Take the A Train.' ~25 min.</t>
  </si>
  <si>
    <t xml:space="preserve">Card Lounge: Solo or Pairs</t>
  </si>
  <si>
    <t xml:space="preserve">Solitaire, double solitaire, light bridge or rummy. Quiet pace. 30 min.</t>
  </si>
  <si>
    <t xml:space="preserve">Sunday Gentle Stretch + Mom's Favorite Songs</t>
  </si>
  <si>
    <t xml:space="preserve">20 min calm Sunday stretch to a 'Songs Mom Loved' playlist (varies by your community: Doris Day, Patti Page, Connie Francis, Karen Carpenter). Mother's Day is sacred for many - keep this gentle. Allow tears or quiet.</t>
  </si>
  <si>
    <t xml:space="preserve">🎲 Game: Bingo - Standard 30-min Bingo. Large-print cards. Caller speaks loudly and clearly. Prizes: small toiletries, costume jewelry, candy.
☕ Social: Mother's Day Tea Hour &amp; Family Visiting - Open visiting. Tea service. Photo station with flower backdrop. Single rose for each.
🎵 Music: Decade Sing-Along - Lyric sheets to favorites from the 50s-70s. Volunteer pianist or recorded music. 60 min.
🍰 Food: Themed Snack Bar - Build-your-own snack bar (sundae, trail mix, crackers + cheese). Light refreshment hour.
🎨 Crafts: Photo Frame Decorating for Family - Plain wood frames + paint + embellishments. Residents make a frame to give to family.
🌿 Outdoor: Garden Stroll &amp; Bench Time - Outdoor walking club through the gardens. Stop at benches. Identify flowers along the way.</t>
  </si>
  <si>
    <t xml:space="preserve">'Steel Magnolias' (1989) - Wind Down</t>
  </si>
  <si>
    <t xml:space="preserve">Standing/Seated Balance Practice</t>
  </si>
  <si>
    <t xml:space="preserve">Balance day: heel raises, toe taps, weight shifts side-to-side, single-leg stand at chair (5 sec each side). Emphasis on falls prevention. ~25 min. PT involvement encouraged if available.</t>
  </si>
  <si>
    <t xml:space="preserve">🎲 Game: Card Tournament: Skip-Bo, UNO, Rummy - Three tables, three games. 60 min. Lemonade and pretzels. Whiteboard leaderboard.
☕ Social: Coffee &amp; Conversation Hour - Pot of coffee, tea, cookies. Open-table format. Activity director suggests a conversation topic.
🎵 Music: Decade Sing-Along - Lyric sheets to favorites from the 50s-70s. Volunteer pianist or recorded music. 60 min.
🍰 Food: Themed Snack Bar - Build-your-own snack bar (sundae, trail mix, crackers + cheese). Light refreshment hour.
🎨 Crafts: Card-Making for Family - Pre-cut blank cards, markers, stickers, glitter glue. Residents make cards for family members.
🌿 Outdoor: Garden Stroll &amp; Bench Time - Outdoor walking club through the gardens. Stop at benches. Identify flowers along the way.</t>
  </si>
  <si>
    <t xml:space="preserve">Tai Chi Basics (Seated)</t>
  </si>
  <si>
    <t xml:space="preserve">Slow flowing seated movements - 'cloud hands,' 'parting the mane,' 'wave hands.' Calming Asian-style instrumental music. 25 min. Honors International Nurses Day with focus on slow breathing for stress relief.</t>
  </si>
  <si>
    <t xml:space="preserve">🎲 Game: Bingo - Standard 30-min Bingo. Large-print cards. Caller speaks loudly and clearly. Prizes: small toiletries, costume jewelry, candy.
☕ Social: Manicure &amp; Music Social - Volunteers from local cosmetology school if possible. Hand massage with lotion if no polish.
🎵 Music: Decade Sing-Along - Lyric sheets to favorites from the 50s-70s. Volunteer pianist or recorded music. 60 min.
🍰 Food: Themed Snack Bar - Build-your-own snack bar (sundae, trail mix, crackers + cheese). Light refreshment hour.
🎨 Crafts: Card-Making for Family - Pre-cut blank cards, markers, stickers, glitter glue. Residents make cards for family members.
🌿 Outdoor: Garden Stroll &amp; Bench Time - Outdoor walking club through the gardens. Stop at benches. Identify flowers along the way.</t>
  </si>
  <si>
    <t xml:space="preserve">🎲 Game: Bingo - Standard 30-min Bingo. Large-print cards. Caller speaks loudly and clearly. Prizes: small toiletries, costume jewelry, candy.
☕ Social: Coffee &amp; Conversation Hour - Pot of coffee, tea, cookies. Open-table format. Activity director suggests a conversation topic.
🎵 Music: Decade Sing-Along - Lyric sheets to favorites from the 50s-70s. Volunteer pianist or recorded music. 60 min.
🍰 Food: Apple Pie Tasting + Demo - Pre-baked apple pie cut and served with vanilla ice cream. Brief demo of how to make pie crust. 60 min.
🎨 Crafts: Card-Making for Family - Pre-cut blank cards, markers, stickers, glitter glue. Residents make cards for family members.
🌿 Outdoor: Garden Stroll &amp; Bench Time - Outdoor walking club through the gardens. Stop at benches. Identify flowers along the way.</t>
  </si>
  <si>
    <t xml:space="preserve">Magazine Page-Through</t>
  </si>
  <si>
    <t xml:space="preserve">Reader's Digest, Life, Country Living. Browse and share interesting articles. 30 min.</t>
  </si>
  <si>
    <t xml:space="preserve">🎲 Game: Bingo - Standard 30-min Bingo. Large-print cards. Caller speaks loudly and clearly. Prizes: small toiletries, costume jewelry, candy.
☕ Social: Coffee &amp; Conversation Hour - Pot of coffee, tea, cookies. Open-table format. Activity director suggests a conversation topic.
🎵 Music: Decade Sing-Along - Lyric sheets to favorites from the 50s-70s. Volunteer pianist or recorded music. 60 min.
🍰 Food: Drop Biscuits &amp; Jam Workshop - Hands-on cooking demo: drop biscuits (mix ingredients in a bowl, drop spoonfuls on tray). Bake in facility kitchen. Eat warm with butter, honey, and 3 jam flavors. Country music. 60 min.
🎨 Crafts: Card-Making for Family - Pre-cut blank cards, markers, stickers, glitter glue. Residents make cards for family members.
🌿 Outdoor: Garden Stroll &amp; Bench Time - Outdoor walking club through the gardens. Stop at benches. Identify flowers along the way.</t>
  </si>
  <si>
    <t xml:space="preserve">Chair Yoga: Shoulder &amp; Neck Relief</t>
  </si>
  <si>
    <t xml:space="preserve">Friday calming session before the weekend. Focus on areas residents commonly complain about: neck, shoulders, lower back. Slow gentle pace. 25 min.</t>
  </si>
  <si>
    <t xml:space="preserve">🎲 Game: Bingo - Standard 30-min Bingo. Large-print cards. Caller speaks loudly and clearly. Prizes: small toiletries, costume jewelry, candy.
☕ Social: Coffee &amp; Conversation Hour - Pot of coffee, tea, cookies. Open-table format. Activity director suggests a conversation topic.
🎵 Music: Decade Sing-Along - Lyric sheets to favorites from the 50s-70s. Volunteer pianist or recorded music. 60 min.
🍰 Food: Cookie Decorating + Milk - Pre-baked sugar cookies, frosting, sprinkles, mini chocolate chips. Decorate, then enjoy with cold milk. 60 min.
🎨 Crafts: Cookie Decorating Social - Same as Food - choose either. Pre-baked cookies, frosting, sprinkles. Display the prettiest on the bulletin board. 60 min.
🌿 Outdoor: Garden Stroll &amp; Bench Time - Outdoor walking club through the gardens. Stop at benches. Identify flowers along the way.</t>
  </si>
  <si>
    <t xml:space="preserve">Patriotic Marching Movement</t>
  </si>
  <si>
    <t xml:space="preserve">Armed Forces Day. March in place to Sousa marches ('Stars and Stripes Forever'). Salute drills, arm-swinging, deep proud breaths. Honor any veteran in the room with a verbal recognition. 25 min.</t>
  </si>
  <si>
    <t xml:space="preserve">🎲 Game: Bingo - Standard 30-min Bingo. Large-print cards. Caller speaks loudly and clearly. Prizes: small toiletries, costume jewelry, candy.
☕ Social: Armed Forces Day Honor Ceremony - 30-min ceremony. Branch flags, thank-you cards, patriotic music, red-white-blue cupcakes.
🎵 Music: Decade Sing-Along - Lyric sheets to favorites from the 50s-70s. Volunteer pianist or recorded music. 60 min.
🍰 Food: Themed Snack Bar - Build-your-own snack bar (sundae, trail mix, crackers + cheese). Light refreshment hour.
🎨 Crafts: Card-Making for Family - Pre-cut blank cards, markers, stickers, glitter glue. Residents make cards for family members.
🌿 Outdoor: Garden Stroll &amp; Bench Time - Outdoor walking club through the gardens. Stop at benches. Identify flowers along the way.</t>
  </si>
  <si>
    <t xml:space="preserve">'The Best Years of Our Lives' (1946) Pt 1 - Wind Down</t>
  </si>
  <si>
    <t xml:space="preserve">Sunday Stretch with Soft Hymns</t>
  </si>
  <si>
    <t xml:space="preserve">Sunday's gentle pace. 20 min seated stretch + breathing to soft hymn music. Volunteer chaplain visit if scheduled.</t>
  </si>
  <si>
    <t xml:space="preserve">🎲 Game: Bingo - Standard 30-min Bingo. Large-print cards. Caller speaks loudly and clearly. Prizes: small toiletries, costume jewelry, candy.
☕ Social: Sunday Hymn Sing &amp; Visiting Hour - Volunteer pianist. Cookies and tea. Walnut bread sample if available. 60-90 min.
🎵 Music: Decade Sing-Along - Lyric sheets to favorites from the 50s-70s. Volunteer pianist or recorded music. 60 min.
🍰 Food: Themed Snack Bar - Build-your-own snack bar (sundae, trail mix, crackers + cheese). Light refreshment hour.
🎨 Crafts: Card-Making for Family - Pre-cut blank cards, markers, stickers, glitter glue. Residents make cards for family members.
🌿 Outdoor: Garden Stroll &amp; Bench Time - Outdoor walking club through the gardens. Stop at benches. Identify flowers along the way.</t>
  </si>
  <si>
    <t xml:space="preserve">Walking Club: Museum Walk</t>
  </si>
  <si>
    <t xml:space="preserve">Indoor walking with prints/posters of famous artworks placed along the hallway (Mona Lisa, American Gothic, Starry Night, etc.). Residents walk and stop at each. 30 min. Honors International Museum Day.</t>
  </si>
  <si>
    <t xml:space="preserve">🎲 Game: Bingo - Standard 30-min Bingo. Large-print cards. Caller speaks loudly and clearly. Prizes: small toiletries, costume jewelry, candy.
☕ Social: Coffee &amp; Conversation Hour - Pot of coffee, tea, cookies. Open-table format. Activity director suggests a conversation topic.
🎵 Music: Decade Sing-Along - Lyric sheets to favorites from the 50s-70s. Volunteer pianist or recorded music. 60 min.
🍰 Food: Themed Snack Bar - Build-your-own snack bar (sundae, trail mix, crackers + cheese). Light refreshment hour.
🎨 Crafts: Watercolor Painting Hour - Watercolor stations: tulip, sunset, apple. No skill required. Display all artwork.
🌿 Outdoor: Garden Stroll &amp; Bench Time - Outdoor walking club through the gardens. Stop at benches. Identify flowers along the way.</t>
  </si>
  <si>
    <t xml:space="preserve">Resistance Band: Lower Body Focus</t>
  </si>
  <si>
    <t xml:space="preserve">25 min on legs and core: leg extensions, hip abductions, ankle dorsi/plantar flexion. Music: jazz standards. Encourage water breaks - hydration emphasis.</t>
  </si>
  <si>
    <t xml:space="preserve">🎲 Game: Bingo - Standard 30-min Bingo. Large-print cards. Caller speaks loudly and clearly. Prizes: small toiletries, costume jewelry, candy.
☕ Social: Coffee &amp; Conversation Hour - Pot of coffee, tea, cookies. Open-table format. Activity director suggests a conversation topic.
🎵 Music: Decade Sing-Along - Lyric sheets to favorites from the 50s-70s. Volunteer pianist or recorded music. 60 min.
🍰 Food: Cake &amp; Coffee Social - Devil's Food Cake. Coffee, tea, decaf. Volunteer pianist if available.
🎨 Crafts: Card-Making for Family - Pre-cut blank cards, markers, stickers, glitter glue. Residents make cards for family members.
🌿 Outdoor: Garden Stroll &amp; Bench Time - Outdoor walking club through the gardens. Stop at benches. Identify flowers along the way.</t>
  </si>
  <si>
    <t xml:space="preserve">Strawberry Picking Movement</t>
  </si>
  <si>
    <t xml:space="preserve">Themed: bend-and-pick motions (gentle), reaching, baskets-on-hip side bends. 20 min. Music: country/folk. Honors National Pick Strawberries Day.</t>
  </si>
  <si>
    <t xml:space="preserve">🎲 Game: Bingo - Standard 30-min Bingo. Large-print cards. Caller speaks loudly and clearly. Prizes: small toiletries, costume jewelry, candy.
☕ Social: Coffee &amp; Conversation Hour - Pot of coffee, tea, cookies. Open-table format. Activity director suggests a conversation topic.
🎵 Music: Decade Sing-Along - Lyric sheets to favorites from the 50s-70s. Volunteer pianist or recorded music. 60 min.
🍰 Food: Strawberry Shortcake Social - Pre-made shortcakes, fresh sliced strawberries, whipped cream. Residents assemble their own. Reminiscence: 'who in your family picked strawberries?' 60 min.
🎨 Crafts: Card-Making for Family - Pre-cut blank cards, markers, stickers, glitter glue. Residents make cards for family members.
🌿 Outdoor: Garden Stroll &amp; Bench Time - Outdoor walking club through the gardens. Stop at benches. Identify flowers along the way.</t>
  </si>
  <si>
    <t xml:space="preserve">Dance Movement: Big Band &amp; Maritime Songs</t>
  </si>
  <si>
    <t xml:space="preserve">National Maritime Day. 25 min seated dance to sea-themed music: 'Beyond the Sea,' 'Sailing,' 'Yellow Submarine,' 'My Bonnie Lies Over the Ocean.' Boat-rocking side-to-side, oar-rowing arms.</t>
  </si>
  <si>
    <t xml:space="preserve">🎲 Game: Bingo - Standard 30-min Bingo. Large-print cards. Caller speaks loudly and clearly. Prizes: small toiletries, costume jewelry, candy.
☕ Social: Coffee &amp; Conversation Hour - Pot of coffee, tea, cookies. Open-table format. Activity director suggests a conversation topic.
🎵 Music: Decade Sing-Along - Lyric sheets to favorites from the 50s-70s. Volunteer pianist or recorded music. 60 min.
🍰 Food: Vanilla Pudding Sundae Bar - Vanilla pudding cups, toppings: chocolate sprinkles, whipped cream, banana, crushed cookies.
🎨 Crafts: Card-Making for Family - Pre-cut blank cards, markers, stickers, glitter glue. Residents make cards for family members.
🌿 Outdoor: Garden Stroll &amp; Bench Time - Outdoor walking club through the gardens. Stop at benches. Identify flowers along the way.</t>
  </si>
  <si>
    <t xml:space="preserve">Walking Club: Garden + Penny Pickup</t>
  </si>
  <si>
    <t xml:space="preserve">30 min walk indoor or outdoor. Activity director pre-places shiny pennies along the route - residents 'find a lucky penny' for the day. Each resident keeps theirs. Honors Lucky Penny Day.</t>
  </si>
  <si>
    <t xml:space="preserve">🎲 Game: Turtle Day Slow-and-Steady Trivia - Tortoise-and-the-hare reading + trivia about patience and slow-but-steady wins.
☕ Social: Coffee &amp; Conversation Hour - Pot of coffee, tea, cookies. Open-table format. Activity director suggests a conversation topic.
🎵 Music: Decade Sing-Along - Lyric sheets to favorites from the 50s-70s. Volunteer pianist or recorded music. 60 min.
🍰 Food: Themed Snack Bar - Build-your-own snack bar (sundae, trail mix, crackers + cheese). Light refreshment hour.
🎨 Crafts: Card-Making for Family - Pre-cut blank cards, markers, stickers, glitter glue. Residents make cards for family members.
🌿 Outdoor: Garden Stroll &amp; Bench Time - Outdoor walking club through the gardens. Stop at benches. Identify flowers along the way.</t>
  </si>
  <si>
    <t xml:space="preserve">Sunday Stretch + Quiet Reflection</t>
  </si>
  <si>
    <t xml:space="preserve">20 min calm stretch with soft music. Honors quiet contemplation before the busy Memorial Day. Optional Bible reading or chaplain visit.</t>
  </si>
  <si>
    <t xml:space="preserve">🎲 Game: Bingo - Standard 30-min Bingo. Large-print cards. Caller speaks loudly and clearly. Prizes: small toiletries, costume jewelry, candy.
☕ Social: Coffee &amp; Conversation Hour - Pot of coffee, tea, cookies. Open-table format. Activity director suggests a conversation topic.
🎵 Music: Decade Sing-Along - Lyric sheets to favorites from the 50s-70s. Volunteer pianist or recorded music. 60 min.
🍰 Food: Themed Snack Bar - Build-your-own snack bar (sundae, trail mix, crackers + cheese). Light refreshment hour.
🎨 Crafts: Card-Making for Family - Pre-cut blank cards, markers, stickers, glitter glue. Residents make cards for family members.
🌿 Outdoor: Indoor Scavenger Hunt + Ice Cream - Pre-planned facility scavenger hunt with helpers. Ice cream cones at the end.</t>
  </si>
  <si>
    <t xml:space="preserve">Patriotic Movement Hour</t>
  </si>
  <si>
    <t xml:space="preserve">Memorial Day. 30 min movement to patriotic music: 'God Bless America,' 'America the Beautiful,' 'You're a Grand Old Flag.' Hand on heart at start. Saluting drills for veterans. Quiet moment for those we've lost.</t>
  </si>
  <si>
    <t xml:space="preserve">🎲 Game: Bingo - Standard 30-min Bingo. Large-print cards. Caller speaks loudly and clearly. Prizes: small toiletries, costume jewelry, candy.
☕ Social: Memorial Day Cookout &amp; Remembrance - All-facility cookout. Hot dogs, hamburgers, watermelon. Moment of silence at noon. Veterans honored.
🎵 Music: Decade Sing-Along - Lyric sheets to favorites from the 50s-70s. Volunteer pianist or recorded music. 60 min.
🍰 Food: Themed Snack Bar - Build-your-own snack bar (sundae, trail mix, crackers + cheese). Light refreshment hour.
🎨 Crafts: Card-Making for Family - Pre-cut blank cards, markers, stickers, glitter glue. Residents make cards for family members.
🌿 Outdoor: Outdoor Lawn Games + Cookout - Horseshoes (rubber), corn-hole, lawn bowling. Patriotic music.</t>
  </si>
  <si>
    <t xml:space="preserve">'The Notebook' (2004) - Memorial Day evening - Wind Down</t>
  </si>
  <si>
    <t xml:space="preserve">Resistance Band: Full Body Quick Routine</t>
  </si>
  <si>
    <t xml:space="preserve">25 min total-body. Recover-from-yesterday gentle pace. Music: easy listening.</t>
  </si>
  <si>
    <t xml:space="preserve">🎲 Game: Bingo - Standard 30-min Bingo. Large-print cards. Caller speaks loudly and clearly. Prizes: small toiletries, costume jewelry, candy.
☕ Social: Coffee &amp; Conversation Hour - Pot of coffee, tea, cookies. Open-table format. Activity director suggests a conversation topic.
🎵 Music: Decade Sing-Along - Lyric sheets to favorites from the 50s-70s. Volunteer pianist or recorded music. 60 min.
🍰 Food: Blueberry Cheesecake Social - Pre-made blueberry cheesecake. Coffee, tea. Reminiscence: 'who in your family made the best cheesecake?' Cooking demo: blueberry topping. 60 min.
🎨 Crafts: Paper Airplane Folding + Flight Contest - Fold simple paper darts. Tabletop flight contest.
🌿 Outdoor: Garden Stroll &amp; Bench Time - Outdoor walking club through the gardens. Stop at benches. Identify flowers along the way.</t>
  </si>
  <si>
    <t xml:space="preserve">Chair Yoga: Sun Salutation Adaptation</t>
  </si>
  <si>
    <t xml:space="preserve">Bright Wednesday energy. Modified sun salutation seated: arms up reach (sun), forward fold (touch knees), big breath. Repeat x5. 25 min. Music: warm, sunny.</t>
  </si>
  <si>
    <t xml:space="preserve">🎲 Game: Bingo - Standard 30-min Bingo. Large-print cards. Caller speaks loudly and clearly. Prizes: small toiletries, costume jewelry, candy.
☕ Social: Coffee &amp; Conversation Hour - Pot of coffee, tea, cookies. Open-table format. Activity director suggests a conversation topic.
🎵 Music: Decade Sing-Along - Lyric sheets to favorites from the 50s-70s. Volunteer pianist or recorded music. 60 min.
🍰 Food: Themed Snack Bar - Build-your-own snack bar (sundae, trail mix, crackers + cheese). Light refreshment hour.
🎨 Crafts: Card-Making for Family - Pre-cut blank cards, markers, stickers, glitter glue. Residents make cards for family members.
🌿 Outdoor: Patio Time + Grape Popsicles - Shaded patio. Grape popsicles. Sunscreen check by staff.</t>
  </si>
  <si>
    <t xml:space="preserve">Senior Health &amp; Fitness Fair Warm-Up</t>
  </si>
  <si>
    <t xml:space="preserve">Today is Senior Health &amp; Fitness Day. Quick 20 min warm-up before the fair (see bonus event May 28). Light stretching, range-of-motion.</t>
  </si>
  <si>
    <t xml:space="preserve">🎲 Game: Bingo - Standard 30-min Bingo. Large-print cards. Caller speaks loudly and clearly. Prizes: small toiletries, costume jewelry, candy.
☕ Social: Senior Health &amp; Fitness Fair - Multi-station fair: BP check, hand-grip strength, hydration ed, brain games, chair yoga.
🎵 Music: Decade Sing-Along - Lyric sheets to favorites from the 50s-70s. Volunteer pianist or recorded music. 60 min.
🍰 Food: Mini Slider Bar - Build-your-own slider station. Mini buns, several patties, condiments, cheese. Side of fries or potato chips. Root beer floats for dessert. 60 min.
🎨 Crafts: Card-Making for Family - Pre-cut blank cards, markers, stickers, glitter glue. Residents make cards for family members.
🌿 Outdoor: Garden Stroll &amp; Bench Time - Outdoor walking club through the gardens. Stop at benches. Identify flowers along the way.</t>
  </si>
  <si>
    <t xml:space="preserve">Dance Movement: Camelot Era</t>
  </si>
  <si>
    <t xml:space="preserve">JFK's birthday. 25 min seated dance to 1960s music (Frank Sinatra, Connie Francis, early Beatles). Glamorous Jackie Kennedy theme - elegance and grace.</t>
  </si>
  <si>
    <t xml:space="preserve">🎲 Game: Bingo - Standard 30-min Bingo. Large-print cards. Caller speaks loudly and clearly. Prizes: small toiletries, costume jewelry, candy.
☕ Social: Coffee &amp; Conversation Hour - Pot of coffee, tea, cookies. Open-table format. Activity director suggests a conversation topic.
🎵 Music: 60s Sing-Along + Pastries - 1960s music sing-along. Coffee and pastries.
🍰 Food: Themed Snack Bar - Build-your-own snack bar (sundae, trail mix, crackers + cheese). Light refreshment hour.
🎨 Crafts: Card-Making for Family - Pre-cut blank cards, markers, stickers, glitter glue. Residents make cards for family members.
🌿 Outdoor: Garden Stroll &amp; Bench Time - Outdoor walking club through the gardens. Stop at benches. Identify flowers along the way.</t>
  </si>
  <si>
    <t xml:space="preserve">'Hidden Figures' (2016) - Wind Down</t>
  </si>
  <si>
    <t xml:space="preserve">Saturday Morning Country Movement</t>
  </si>
  <si>
    <t xml:space="preserve">Light upbeat 25 min seated dance to Kentucky Derby + country music: 'My Old Kentucky Home,' Patsy Cline, Kenny Rogers.</t>
  </si>
  <si>
    <t xml:space="preserve">🎲 Game: Bingo - Standard 30-min Bingo. Large-print cards. Caller speaks loudly and clearly. Prizes: small toiletries, costume jewelry, candy.
☕ Social: Coffee &amp; Conversation Hour - Pot of coffee, tea, cookies. Open-table format. Activity director suggests a conversation topic.
🎵 Music: Decade Sing-Along - Lyric sheets to favorites from the 50s-70s. Volunteer pianist or recorded music. 60 min.
🍰 Food: Mint Lemonade + Saturday Card Tournament - Mint lemonade ('non-alcoholic julep'). Card games. Whiteboard leaderboard.
🎨 Crafts: Card-Making for Family - Pre-cut blank cards, markers, stickers, glitter glue. Residents make cards for family members.
🌿 Outdoor: Garden Stroll &amp; Bench Time - Outdoor walking club through the gardens. Stop at benches. Identify flowers along the way.</t>
  </si>
  <si>
    <t xml:space="preserve">Sunday Closing Stretch</t>
  </si>
  <si>
    <t xml:space="preserve">Last day of May. 20 min calm stretch + breathing. End with a 'thank you' moment - what was the best thing in May? Each resident shares one word.</t>
  </si>
  <si>
    <t xml:space="preserve">🎲 Game: Bingo - Standard 30-min Bingo. Large-print cards. Caller speaks loudly and clearly. Prizes: small toiletries, costume jewelry, candy.
☕ Social: Coffee &amp; Conversation Hour - Pot of coffee, tea, cookies. Open-table format. Activity director suggests a conversation topic.
🎵 Music: Decade Sing-Along - Lyric sheets to favorites from the 50s-70s. Volunteer pianist or recorded music. 60 min.
🍰 Food: Macaroon &amp; Tea Closing Social - French and coconut macaroons. Tea service. Soft music. Photo slideshow of May. 60 min.
🎨 Crafts: Card-Making for Family - Pre-cut blank cards, markers, stickers, glitter glue. Residents make cards for family members.
🌿 Outdoor: Garden Stroll &amp; Bench Time - Outdoor walking club through the gardens. Stop at benches. Identify flowers along the way.</t>
  </si>
  <si>
    <t xml:space="preserve">Walking Club + Yoga (Choice)</t>
  </si>
  <si>
    <t xml:space="preserve">30-min walking club outside or 30-min standing yoga (instructor-led). Resident picks. Springtime kick-off.</t>
  </si>
  <si>
    <t xml:space="preserve">Book Club Quiet Reading</t>
  </si>
  <si>
    <t xml:space="preserve">Members read this month's book selection. Coffee. Discussion saved for later in the week. 45 min.</t>
  </si>
  <si>
    <t xml:space="preserve">🎲 Game: Card Tournament - Skip-Bo, Bridge, Hand-and-Foot, Pinochle - whatever the community plays. Multiple tables. Track winners on a leaderboard.
☕ Social: Current Events Discussion - Activity director brings 3-5 articles from the morning paper. Group discusses. Coffee and tea. 60 min.
🎵 Music: Music Trivia Hour - Name That Tune format with 5-second clips spanning 6 decades. Team scoring. Friendly competition.
🍰 Food: Cooking Demo + Tasting - Activity director or kitchen demos a recipe. Residents help when possible. Tastings provided.
🎨 Crafts: May Basket Decorating - Decorate paper cones. Fill with flowers and a candy. Hang on neighbors' doors. IL: design from scratch with paper, ribbon, and live flowers.
🌿 Outdoor: Garden Club Workday - Light gardening - watering, deadheading, planting seedlings. Sunscreen and hats provided.</t>
  </si>
  <si>
    <t xml:space="preserve">Movie Night: 'Driving Miss Daisy' (1989)</t>
  </si>
  <si>
    <t xml:space="preserve">Full feature film. Popcorn, snacks, mocktails. Optional discussion after.</t>
  </si>
  <si>
    <t xml:space="preserve">Resistance Band Strength Class</t>
  </si>
  <si>
    <t xml:space="preserve">Full body 30-min strength class with bands. Standing or seated. Trainer or volunteer leads.</t>
  </si>
  <si>
    <t xml:space="preserve">🎲 Game: Derby Trivia + Mock Betting - Trivia about famous racehorses. Mock $1 betting slips with poker chips.
☕ Social: Current Events Discussion - Activity director brings 3-5 articles from the morning paper. Group discusses. Coffee and tea. 60 min.
🎵 Music: Music Trivia Hour - Name That Tune format with 5-second clips spanning 6 decades. Team scoring. Friendly competition.
🍰 Food: Cooking Demo + Tasting - Activity director or kitchen demos a recipe. Residents help when possible. Tastings provided.
🎨 Crafts: Derby Hat Workshop - Decorate paper sun-hats with ribbons, silk flowers, feathers. Photo for bulletin board. Mint lemonade served.
🌿 Outdoor: Garden Club Workday - Light gardening - watering, deadheading, planting seedlings. Sunscreen and hats provided.</t>
  </si>
  <si>
    <t xml:space="preserve">Kentucky Derby Watch Party (full TV broadcast 6-8 PM)</t>
  </si>
  <si>
    <t xml:space="preserve">Sunday Stretch + Walk</t>
  </si>
  <si>
    <t xml:space="preserve">Optional walk 7:30 AM (early risers) or 9:30 stretch class. 30 min.</t>
  </si>
  <si>
    <t xml:space="preserve">🎲 Game: Card Tournament - Skip-Bo, Bridge, Hand-and-Foot, Pinochle - whatever the community plays. Multiple tables. Track winners on a leaderboard.
☕ Social: Current Events Discussion - Activity director brings 3-5 articles from the morning paper. Group discusses. Coffee and tea. 60 min.
🎵 Music: Music Trivia Hour - Name That Tune format with 5-second clips spanning 6 decades. Team scoring. Friendly competition.
🍰 Food: Cooking Demo + Tasting - Activity director or kitchen demos a recipe. Residents help when possible. Tastings provided.
🎨 Crafts: Watercolor or Adult Coloring - Real watercolor sets, brushes, paper. Or detailed adult coloring books with colored pencils.
🌿 Outdoor: Garden Meditation &amp; Plant Potting - Small terra-cotta pots, marigold seedlings. Each resident plants their own. Soft music. Take to room. </t>
  </si>
  <si>
    <t xml:space="preserve">Live Music Night</t>
  </si>
  <si>
    <t xml:space="preserve">Volunteer musician (piano, guitar, vocals). Coffee, tea, dessert. 75 min.</t>
  </si>
  <si>
    <t xml:space="preserve">Cardio Dance: Star Wars Theme</t>
  </si>
  <si>
    <t xml:space="preserve">30-min standing/seated cardio dance to upbeat music including Star Wars theme. Energetic.</t>
  </si>
  <si>
    <t xml:space="preserve">Genealogy / Memoir Hour</t>
  </si>
  <si>
    <t xml:space="preserve">Workbooks, family tree templates. Optional volunteer historian visit. 45 min.</t>
  </si>
  <si>
    <t xml:space="preserve">🎲 Game: Card Tournament - Skip-Bo, Bridge, Hand-and-Foot, Pinochle - whatever the community plays. Multiple tables. Track winners on a leaderboard.
☕ Social: Current Events Discussion - Activity director brings 3-5 articles from the morning paper. Group discusses. Coffee and tea. 60 min.
🎵 Music: Music Trivia Hour - Name That Tune format with 5-second clips spanning 6 decades. Team scoring. Friendly competition.
🍰 Food: Cooking Demo + Tasting - Activity director or kitchen demos a recipe. Residents help when possible. Tastings provided.
🎨 Crafts: Watercolor or Adult Coloring - Real watercolor sets, brushes, paper. Or detailed adult coloring books with colored pencils.
🌿 Outdoor: Garden Club Workday - Light gardening - watering, deadheading, planting seedlings. Sunscreen and hats provided.</t>
  </si>
  <si>
    <t xml:space="preserve">Cards &amp; Cocktails</t>
  </si>
  <si>
    <t xml:space="preserve">Bridge, pinochle, poker (chips not money). Mocktails or light cocktails. 90 min.</t>
  </si>
  <si>
    <t xml:space="preserve">Salsa Cardio Class</t>
  </si>
  <si>
    <t xml:space="preserve">Standing salsa class (chair available). 30 min. High energy. Cinco de Mayo.</t>
  </si>
  <si>
    <t xml:space="preserve">Crossword &amp; Sudoku Cafe</t>
  </si>
  <si>
    <t xml:space="preserve">Newspapers' puzzle pages, large-print sudoku books. Coffee. 45 min.</t>
  </si>
  <si>
    <t xml:space="preserve">🎲 Game: Loteria (Mexican Bingo) - Picture cards instead of numbers. Beans for markers.
☕ Social: Cinco de Mayo Fiesta - Mariachi music, paper banners, agua fresca, guacamole+chips (or tortilla pinwheels for soft diets).
🎵 Music: Music Trivia Hour - Name That Tune format with 5-second clips spanning 6 decades. Team scoring. Friendly competition.
🍰 Food: Taco / Quesadilla Bar - Build your own taco or quesadilla bar. Mild salsa. Churros for dessert.
🎨 Crafts: Watercolor or Adult Coloring - Real watercolor sets, brushes, paper. Or detailed adult coloring books with colored pencils.
🌿 Outdoor: Garden Club Workday - Light gardening - watering, deadheading, planting seedlings. Sunscreen and hats provided.</t>
  </si>
  <si>
    <t xml:space="preserve">Wine &amp; Cheese Salon</t>
  </si>
  <si>
    <t xml:space="preserve">Cheese platter, crackers, wine (or sparkling cider). Conversation. Light music. 90 min.</t>
  </si>
  <si>
    <t xml:space="preserve">Strength + Stretch Combination</t>
  </si>
  <si>
    <t xml:space="preserve">30 min full workout: strength bands, then stretching. Honors Nurses Day with health focus.</t>
  </si>
  <si>
    <t xml:space="preserve">Bridge or Pinochle Lessons</t>
  </si>
  <si>
    <t xml:space="preserve">For those wanting to learn or improve. 60 min. Small groups.</t>
  </si>
  <si>
    <t xml:space="preserve">🎲 Game: Card Tournament - Skip-Bo, Bridge, Hand-and-Foot, Pinochle - whatever the community plays. Multiple tables. Track winners on a leaderboard.
☕ Social: Current Events Discussion - Activity director brings 3-5 articles from the morning paper. Group discusses. Coffee and tea. 60 min.
🎵 Music: Music Trivia Hour - Name That Tune format with 5-second clips spanning 6 decades. Team scoring. Friendly competition.
🍰 Food: Cooking Demo + Tasting - Activity director or kitchen demos a recipe. Residents help when possible. Tastings provided.
🎨 Crafts: Make-a-Card for Nurses - Cards for facility nurses or local hospital staff. Activity director delivers.
🌿 Outdoor: Garden Club Workday - Light gardening - watering, deadheading, planting seedlings. Sunscreen and hats provided.</t>
  </si>
  <si>
    <t xml:space="preserve">Movie Night with Discussion</t>
  </si>
  <si>
    <t xml:space="preserve">Feature film + brief discussion afterward. 90-120 min total.</t>
  </si>
  <si>
    <t xml:space="preserve">3-Mile Walking Club</t>
  </si>
  <si>
    <t xml:space="preserve">Outdoor 3-mile loop if weather permits. 60-75 min. Bring water. For active walkers.</t>
  </si>
  <si>
    <t xml:space="preserve">🎲 Game: Card Tournament - Skip-Bo, Bridge, Hand-and-Foot, Pinochle - whatever the community plays. Multiple tables. Track winners on a leaderboard.
☕ Social: Current Events Discussion - Activity director brings 3-5 articles from the morning paper. Group discusses. Coffee and tea. 60 min.
🎵 Music: Music Trivia Hour - Name That Tune format with 5-second clips spanning 6 decades. Team scoring. Friendly competition.
🍰 Food: Greek Mezze Tasting - Hummus, pita bread, olives, feta, grape leaves. Greek music. 60 min.
🎨 Crafts: Watercolor or Adult Coloring - Real watercolor sets, brushes, paper. Or detailed adult coloring books with colored pencils.
🌿 Outdoor: Garden Club Workday - Light gardening - watering, deadheading, planting seedlings. Sunscreen and hats provided.</t>
  </si>
  <si>
    <t xml:space="preserve">Movie Night: 'On Golden Pond' (1981)</t>
  </si>
  <si>
    <t xml:space="preserve">Big Band Cardio Dance</t>
  </si>
  <si>
    <t xml:space="preserve">Standing dance class to swing music. 30 min.</t>
  </si>
  <si>
    <t xml:space="preserve">🎲 Game: Card Tournament - Skip-Bo, Bridge, Hand-and-Foot, Pinochle - whatever the community plays. Multiple tables. Track winners on a leaderboard.
☕ Social: Mother's Day Tea (Pre-Celebration) - Linen tablecloths, china teacups, finger sandwiches, scones with jam, lemon bars. Honor every female resident. Fresh corsages.
🎵 Music: Music Trivia Hour - Name That Tune format with 5-second clips spanning 6 decades. Team scoring. Friendly competition.
🍰 Food: Cooking Demo + Tasting - Activity director or kitchen demos a recipe. Residents help when possible. Tastings provided.
🎨 Crafts: Watercolor or Adult Coloring - Real watercolor sets, brushes, paper. Or detailed adult coloring books with colored pencils.
🌿 Outdoor: Garden Club Workday - Light gardening - watering, deadheading, planting seedlings. Sunscreen and hats provided.</t>
  </si>
  <si>
    <t xml:space="preserve">Walking Club + Train-Themed Music</t>
  </si>
  <si>
    <t xml:space="preserve">Outdoor walk to 'Chattanooga Choo Choo' playlist. 45 min.</t>
  </si>
  <si>
    <t xml:space="preserve">Independent Puzzle Time</t>
  </si>
  <si>
    <t xml:space="preserve">Jigsaw puzzles 500-1000 piece on rotating tables. Take a section, work alone or with a friend. 45 min.</t>
  </si>
  <si>
    <t xml:space="preserve">Sunday Calm Yoga</t>
  </si>
  <si>
    <t xml:space="preserve">Mother's Day - calm 30-min yoga with focus on gratitude. Tissues nearby.</t>
  </si>
  <si>
    <t xml:space="preserve">🎲 Game: Card Tournament - Skip-Bo, Bridge, Hand-and-Foot, Pinochle - whatever the community plays. Multiple tables. Track winners on a leaderboard.
☕ Social: Mother's Day Tea Hour &amp; Family Visiting - Open visiting. Tea service. Photo station with flower backdrop. Single rose for each.
🎵 Music: Music Trivia Hour - Name That Tune format with 5-second clips spanning 6 decades. Team scoring. Friendly competition.
🍰 Food: Cooking Demo + Tasting - Activity director or kitchen demos a recipe. Residents help when possible. Tastings provided.
🎨 Crafts: Photo Frame Decorating for Family - Plain wood frames + paint + embellishments. Residents make a frame to give to family.
🌿 Outdoor: Garden Club Workday - Light gardening - watering, deadheading, planting seedlings. Sunscreen and hats provided.</t>
  </si>
  <si>
    <t xml:space="preserve">Movie Night: 'Steel Magnolias' (1989)</t>
  </si>
  <si>
    <t xml:space="preserve">Balance &amp; Falls Prevention Class</t>
  </si>
  <si>
    <t xml:space="preserve">Standing balance work, single-leg stands, weight shifts. 30 min. Trainer-led.</t>
  </si>
  <si>
    <t xml:space="preserve">🎲 Game: Card Tournament: Skip-Bo, UNO, Rummy - Three tables, three games. 60 min. Lemonade and pretzels. Whiteboard leaderboard.
☕ Social: Current Events Discussion - Activity director brings 3-5 articles from the morning paper. Group discusses. Coffee and tea. 60 min.
🎵 Music: Music Trivia Hour - Name That Tune format with 5-second clips spanning 6 decades. Team scoring. Friendly competition.
🍰 Food: Cooking Demo + Tasting - Activity director or kitchen demos a recipe. Residents help when possible. Tastings provided.
🎨 Crafts: Watercolor or Adult Coloring - Real watercolor sets, brushes, paper. Or detailed adult coloring books with colored pencils.
🌿 Outdoor: Garden Club Workday - Light gardening - watering, deadheading, planting seedlings. Sunscreen and hats provided.</t>
  </si>
  <si>
    <t xml:space="preserve">Tai Chi Class</t>
  </si>
  <si>
    <t xml:space="preserve">Standing 30-min Tai Chi class. Form work. Honors Nurses Day with stress focus.</t>
  </si>
  <si>
    <t xml:space="preserve">🎲 Game: Card Tournament - Skip-Bo, Bridge, Hand-and-Foot, Pinochle - whatever the community plays. Multiple tables. Track winners on a leaderboard.
☕ Social: Manicure &amp; Music Social - Volunteers from local cosmetology school if possible. Hand massage with lotion if no polish.
🎵 Music: Music Trivia Hour - Name That Tune format with 5-second clips spanning 6 decades. Team scoring. Friendly competition.
🍰 Food: Cooking Demo + Tasting - Activity director or kitchen demos a recipe. Residents help when possible. Tastings provided.
🎨 Crafts: Watercolor or Adult Coloring - Real watercolor sets, brushes, paper. Or detailed adult coloring books with colored pencils.
🌿 Outdoor: Garden Club Workday - Light gardening - watering, deadheading, planting seedlings. Sunscreen and hats provided.</t>
  </si>
  <si>
    <t xml:space="preserve">🎲 Game: Card Tournament - Skip-Bo, Bridge, Hand-and-Foot, Pinochle - whatever the community plays. Multiple tables. Track winners on a leaderboard.
☕ Social: Current Events Discussion - Activity director brings 3-5 articles from the morning paper. Group discusses. Coffee and tea. 60 min.
🎵 Music: Music Trivia Hour - Name That Tune format with 5-second clips spanning 6 decades. Team scoring. Friendly competition.
🍰 Food: Apple Pie Tasting + Demo - Pre-baked apple pie cut and served with vanilla ice cream. Brief demo of how to make pie crust. 60 min.
🎨 Crafts: Watercolor or Adult Coloring - Real watercolor sets, brushes, paper. Or detailed adult coloring books with colored pencils.
🌿 Outdoor: Garden Club Workday - Light gardening - watering, deadheading, planting seedlings. Sunscreen and hats provided.</t>
  </si>
  <si>
    <t xml:space="preserve">Newspaper &amp; Discussion</t>
  </si>
  <si>
    <t xml:space="preserve">Paper, plus current events articles printed in large format. Pairs or trios discuss. 45 min.</t>
  </si>
  <si>
    <t xml:space="preserve">🎲 Game: Card Tournament - Skip-Bo, Bridge, Hand-and-Foot, Pinochle - whatever the community plays. Multiple tables. Track winners on a leaderboard.
☕ Social: Current Events Discussion - Activity director brings 3-5 articles from the morning paper. Group discusses. Coffee and tea. 60 min.
🎵 Music: Music Trivia Hour - Name That Tune format with 5-second clips spanning 6 decades. Team scoring. Friendly competition.
🍰 Food: Drop Biscuits &amp; Jam Workshop - Hands-on cooking demo: drop biscuits (mix ingredients in a bowl, drop spoonfuls on tray). Bake in facility kitchen. Eat warm with butter, honey, and 3 jam flavors. Country music. 60 min.
🎨 Crafts: Watercolor or Adult Coloring - Real watercolor sets, brushes, paper. Or detailed adult coloring books with colored pencils.
🌿 Outdoor: Garden Club Workday - Light gardening - watering, deadheading, planting seedlings. Sunscreen and hats provided.</t>
  </si>
  <si>
    <t xml:space="preserve">Yoga Flow Class</t>
  </si>
  <si>
    <t xml:space="preserve">30-min standing yoga flow. Mats provided. Bring water.</t>
  </si>
  <si>
    <t xml:space="preserve">🎲 Game: Card Tournament - Skip-Bo, Bridge, Hand-and-Foot, Pinochle - whatever the community plays. Multiple tables. Track winners on a leaderboard.
☕ Social: Current Events Discussion - Activity director brings 3-5 articles from the morning paper. Group discusses. Coffee and tea. 60 min.
🎵 Music: Music Trivia Hour - Name That Tune format with 5-second clips spanning 6 decades. Team scoring. Friendly competition.
🍰 Food: Cookie Decorating + Milk - Pre-baked sugar cookies, frosting, sprinkles, mini chocolate chips. Decorate, then enjoy with cold milk. 60 min.
🎨 Crafts: Cookie Decorating Social - Same as Food - choose either. Pre-baked cookies, frosting, sprinkles. Display the prettiest on the bulletin board. 60 min.
🌿 Outdoor: Garden Club Workday - Light gardening - watering, deadheading, planting seedlings. Sunscreen and hats provided.</t>
  </si>
  <si>
    <t xml:space="preserve">Patriotic Walking Club</t>
  </si>
  <si>
    <t xml:space="preserve">Sousa marches on the speakers. 45-min outdoor walk.</t>
  </si>
  <si>
    <t xml:space="preserve">🎲 Game: Card Tournament - Skip-Bo, Bridge, Hand-and-Foot, Pinochle - whatever the community plays. Multiple tables. Track winners on a leaderboard.
☕ Social: Armed Forces Day Honor Ceremony - 30-min ceremony. Branch flags, thank-you cards, patriotic music, red-white-blue cupcakes.
🎵 Music: Music Trivia Hour - Name That Tune format with 5-second clips spanning 6 decades. Team scoring. Friendly competition.
🍰 Food: Cooking Demo + Tasting - Activity director or kitchen demos a recipe. Residents help when possible. Tastings provided.
🎨 Crafts: Watercolor or Adult Coloring - Real watercolor sets, brushes, paper. Or detailed adult coloring books with colored pencils.
🌿 Outdoor: Garden Club Workday - Light gardening - watering, deadheading, planting seedlings. Sunscreen and hats provided.</t>
  </si>
  <si>
    <t xml:space="preserve">Movie Night: 'The Best Years of Our Lives' (1946) Pt 1</t>
  </si>
  <si>
    <t xml:space="preserve">Sunday Stretch or Hike</t>
  </si>
  <si>
    <t xml:space="preserve">Optional 60-min hike on the property trails, or 30-min stretch class.</t>
  </si>
  <si>
    <t xml:space="preserve">🎲 Game: Card Tournament - Skip-Bo, Bridge, Hand-and-Foot, Pinochle - whatever the community plays. Multiple tables. Track winners on a leaderboard.
☕ Social: Sunday Hymn Sing &amp; Visiting Hour - Volunteer pianist. Cookies and tea. Walnut bread sample if available. 60-90 min.
🎵 Music: Music Trivia Hour - Name That Tune format with 5-second clips spanning 6 decades. Team scoring. Friendly competition.
🍰 Food: Cooking Demo + Tasting - Activity director or kitchen demos a recipe. Residents help when possible. Tastings provided.
🎨 Crafts: Watercolor or Adult Coloring - Real watercolor sets, brushes, paper. Or detailed adult coloring books with colored pencils.
🌿 Outdoor: Garden Club Workday - Light gardening - watering, deadheading, planting seedlings. Sunscreen and hats provided.</t>
  </si>
  <si>
    <t xml:space="preserve">Walking Tour: Local Art Walk</t>
  </si>
  <si>
    <t xml:space="preserve">Outdoor walk to a local park with art. 60-90 min. Optional outing.</t>
  </si>
  <si>
    <t xml:space="preserve">🎲 Game: Card Tournament - Skip-Bo, Bridge, Hand-and-Foot, Pinochle - whatever the community plays. Multiple tables. Track winners on a leaderboard.
☕ Social: Current Events Discussion - Activity director brings 3-5 articles from the morning paper. Group discusses. Coffee and tea. 60 min.
🎵 Music: Music Trivia Hour - Name That Tune format with 5-second clips spanning 6 decades. Team scoring. Friendly competition.
🍰 Food: Cooking Demo + Tasting - Activity director or kitchen demos a recipe. Residents help when possible. Tastings provided.
🎨 Crafts: Watercolor Painting Hour - Watercolor stations: tulip, sunset, apple. No skill required. Display all artwork.
🌿 Outdoor: Garden Club Workday - Light gardening - watering, deadheading, planting seedlings. Sunscreen and hats provided.</t>
  </si>
  <si>
    <t xml:space="preserve">Resistance Band: Lower Body</t>
  </si>
  <si>
    <t xml:space="preserve">30-min targeted lower body. Trainer-led.</t>
  </si>
  <si>
    <t xml:space="preserve">🎲 Game: Card Tournament - Skip-Bo, Bridge, Hand-and-Foot, Pinochle - whatever the community plays. Multiple tables. Track winners on a leaderboard.
☕ Social: Current Events Discussion - Activity director brings 3-5 articles from the morning paper. Group discusses. Coffee and tea. 60 min.
🎵 Music: Music Trivia Hour - Name That Tune format with 5-second clips spanning 6 decades. Team scoring. Friendly competition.
🍰 Food: Cake &amp; Coffee Social - Devil's Food Cake. Coffee, tea, decaf. Volunteer pianist if available.
🎨 Crafts: Watercolor or Adult Coloring - Real watercolor sets, brushes, paper. Or detailed adult coloring books with colored pencils.
🌿 Outdoor: Garden Club Workday - Light gardening - watering, deadheading, planting seedlings. Sunscreen and hats provided.</t>
  </si>
  <si>
    <t xml:space="preserve">Strawberry Field Trip Walk</t>
  </si>
  <si>
    <t xml:space="preserve">If outing: drive to a U-pick strawberry farm. 90 min. Otherwise 45-min walk.</t>
  </si>
  <si>
    <t xml:space="preserve">🎲 Game: Card Tournament - Skip-Bo, Bridge, Hand-and-Foot, Pinochle - whatever the community plays. Multiple tables. Track winners on a leaderboard.
☕ Social: Current Events Discussion - Activity director brings 3-5 articles from the morning paper. Group discusses. Coffee and tea. 60 min.
🎵 Music: Music Trivia Hour - Name That Tune format with 5-second clips spanning 6 decades. Team scoring. Friendly competition.
🍰 Food: Strawberry Shortcake Social - Pre-made shortcakes, fresh sliced strawberries, whipped cream. Residents assemble their own. Reminiscence: 'who in your family picked strawberries?' 60 min.
🎨 Crafts: Watercolor or Adult Coloring - Real watercolor sets, brushes, paper. Or detailed adult coloring books with colored pencils.
🌿 Outdoor: Garden Club Workday - Light gardening - watering, deadheading, planting seedlings. Sunscreen and hats provided.</t>
  </si>
  <si>
    <t xml:space="preserve">Big Band + Maritime Cardio</t>
  </si>
  <si>
    <t xml:space="preserve">30-min standing cardio to sea-themed music. Energetic.</t>
  </si>
  <si>
    <t xml:space="preserve">🎲 Game: Card Tournament - Skip-Bo, Bridge, Hand-and-Foot, Pinochle - whatever the community plays. Multiple tables. Track winners on a leaderboard.
☕ Social: Current Events Discussion - Activity director brings 3-5 articles from the morning paper. Group discusses. Coffee and tea. 60 min.
🎵 Music: Music Trivia Hour - Name That Tune format with 5-second clips spanning 6 decades. Team scoring. Friendly competition.
🍰 Food: Vanilla Pudding Sundae Bar - Vanilla pudding cups, toppings: chocolate sprinkles, whipped cream, banana, crushed cookies.
🎨 Crafts: Watercolor or Adult Coloring - Real watercolor sets, brushes, paper. Or detailed adult coloring books with colored pencils.
🌿 Outdoor: Garden Club Workday - Light gardening - watering, deadheading, planting seedlings. Sunscreen and hats provided.</t>
  </si>
  <si>
    <t xml:space="preserve">Walking Club + Penny Hunt</t>
  </si>
  <si>
    <t xml:space="preserve">Outdoor 45-min walk. Pre-placed pennies along route as fun finds.</t>
  </si>
  <si>
    <t xml:space="preserve">🎲 Game: Turtle Day Slow-and-Steady Trivia - Tortoise-and-the-hare reading + trivia about patience and slow-but-steady wins.
☕ Social: Current Events Discussion - Activity director brings 3-5 articles from the morning paper. Group discusses. Coffee and tea. 60 min.
🎵 Music: Music Trivia Hour - Name That Tune format with 5-second clips spanning 6 decades. Team scoring. Friendly competition.
🍰 Food: Cooking Demo + Tasting - Activity director or kitchen demos a recipe. Residents help when possible. Tastings provided.
🎨 Crafts: Watercolor or Adult Coloring - Real watercolor sets, brushes, paper. Or detailed adult coloring books with colored pencils.
🌿 Outdoor: Garden Club Workday - Light gardening - watering, deadheading, planting seedlings. Sunscreen and hats provided.</t>
  </si>
  <si>
    <t xml:space="preserve">Sunday Walk or Stretch</t>
  </si>
  <si>
    <t xml:space="preserve">Open option: walk or 30-min stretch class.</t>
  </si>
  <si>
    <t xml:space="preserve">🎲 Game: Card Tournament - Skip-Bo, Bridge, Hand-and-Foot, Pinochle - whatever the community plays. Multiple tables. Track winners on a leaderboard.
☕ Social: Current Events Discussion - Activity director brings 3-5 articles from the morning paper. Group discusses. Coffee and tea. 60 min.
🎵 Music: Music Trivia Hour - Name That Tune format with 5-second clips spanning 6 decades. Team scoring. Friendly competition.
🍰 Food: Cooking Demo + Tasting - Activity director or kitchen demos a recipe. Residents help when possible. Tastings provided.
🎨 Crafts: Watercolor or Adult Coloring - Real watercolor sets, brushes, paper. Or detailed adult coloring books with colored pencils.
🌿 Outdoor: Indoor Scavenger Hunt + Ice Cream - Pre-planned facility scavenger hunt with helpers. Ice cream cones at the end.</t>
  </si>
  <si>
    <t xml:space="preserve">Memorial Day Walking Ceremony</t>
  </si>
  <si>
    <t xml:space="preserve">Outdoor 45-min walking ceremony. Stop at flag, moment of silence at noon. Patriotic playlist.</t>
  </si>
  <si>
    <t xml:space="preserve">🎲 Game: Card Tournament - Skip-Bo, Bridge, Hand-and-Foot, Pinochle - whatever the community plays. Multiple tables. Track winners on a leaderboard.
☕ Social: Memorial Day Cookout &amp; Remembrance - All-facility cookout. Hot dogs, hamburgers, watermelon. Moment of silence at noon. Veterans honored.
🎵 Music: Music Trivia Hour - Name That Tune format with 5-second clips spanning 6 decades. Team scoring. Friendly competition.
🍰 Food: Cooking Demo + Tasting - Activity director or kitchen demos a recipe. Residents help when possible. Tastings provided.
🎨 Crafts: Watercolor or Adult Coloring - Real watercolor sets, brushes, paper. Or detailed adult coloring books with colored pencils.
🌿 Outdoor: Outdoor Lawn Games + Cookout - Horseshoes (rubber), corn-hole, lawn bowling. Patriotic music.</t>
  </si>
  <si>
    <t xml:space="preserve">Movie Night: 'The Notebook' (2004) - Memorial Day</t>
  </si>
  <si>
    <t xml:space="preserve">Quick Full Body Class</t>
  </si>
  <si>
    <t xml:space="preserve">30-min recover-day class. Easy pace.</t>
  </si>
  <si>
    <t xml:space="preserve">🎲 Game: Card Tournament - Skip-Bo, Bridge, Hand-and-Foot, Pinochle - whatever the community plays. Multiple tables. Track winners on a leaderboard.
☕ Social: Current Events Discussion - Activity director brings 3-5 articles from the morning paper. Group discusses. Coffee and tea. 60 min.
🎵 Music: Music Trivia Hour - Name That Tune format with 5-second clips spanning 6 decades. Team scoring. Friendly competition.
🍰 Food: Blueberry Cheesecake Social - Pre-made blueberry cheesecake. Coffee, tea. Reminiscence: 'who in your family made the best cheesecake?' Cooking demo: blueberry topping. 60 min.
🎨 Crafts: Paper Airplane Folding + Flight Contest - Fold simple paper darts. Tabletop flight contest.
🌿 Outdoor: Garden Club Workday - Light gardening - watering, deadheading, planting seedlings. Sunscreen and hats provided.</t>
  </si>
  <si>
    <t xml:space="preserve">Yoga Sun Salutation Series</t>
  </si>
  <si>
    <t xml:space="preserve">30-min yoga with multiple sun salutations. Standing.</t>
  </si>
  <si>
    <t xml:space="preserve">🎲 Game: Card Tournament - Skip-Bo, Bridge, Hand-and-Foot, Pinochle - whatever the community plays. Multiple tables. Track winners on a leaderboard.
☕ Social: Current Events Discussion - Activity director brings 3-5 articles from the morning paper. Group discusses. Coffee and tea. 60 min.
🎵 Music: Music Trivia Hour - Name That Tune format with 5-second clips spanning 6 decades. Team scoring. Friendly competition.
🍰 Food: Cooking Demo + Tasting - Activity director or kitchen demos a recipe. Residents help when possible. Tastings provided.
🎨 Crafts: Watercolor or Adult Coloring - Real watercolor sets, brushes, paper. Or detailed adult coloring books with colored pencils.
🌿 Outdoor: Patio Time + Grape Popsicles - Shaded patio. Grape popsicles. Sunscreen check by staff.</t>
  </si>
  <si>
    <t xml:space="preserve">Senior Health &amp; Fitness Day Workout</t>
  </si>
  <si>
    <t xml:space="preserve">60-min special class as part of Senior Health &amp; Fitness Day.</t>
  </si>
  <si>
    <t xml:space="preserve">🎲 Game: Card Tournament - Skip-Bo, Bridge, Hand-and-Foot, Pinochle - whatever the community plays. Multiple tables. Track winners on a leaderboard.
☕ Social: Senior Health &amp; Fitness Fair - Multi-station fair: BP check, hand-grip strength, hydration ed, brain games, chair yoga.
🎵 Music: Music Trivia Hour - Name That Tune format with 5-second clips spanning 6 decades. Team scoring. Friendly competition.
🍰 Food: Mini Slider Bar - Build-your-own slider station. Mini buns, several patties, condiments, cheese. Side of fries or potato chips. Root beer floats for dessert. 60 min.
🎨 Crafts: Watercolor or Adult Coloring - Real watercolor sets, brushes, paper. Or detailed adult coloring books with colored pencils.
🌿 Outdoor: Garden Club Workday - Light gardening - watering, deadheading, planting seedlings. Sunscreen and hats provided.</t>
  </si>
  <si>
    <t xml:space="preserve">Camelot Era Dance Class</t>
  </si>
  <si>
    <t xml:space="preserve">30-min standing dance to 1960s hits. Energetic.</t>
  </si>
  <si>
    <t xml:space="preserve">🎲 Game: Card Tournament - Skip-Bo, Bridge, Hand-and-Foot, Pinochle - whatever the community plays. Multiple tables. Track winners on a leaderboard.
☕ Social: Current Events Discussion - Activity director brings 3-5 articles from the morning paper. Group discusses. Coffee and tea. 60 min.
🎵 Music: 60s Sing-Along + Pastries - 1960s music sing-along. Coffee and pastries.
🍰 Food: Cooking Demo + Tasting - Activity director or kitchen demos a recipe. Residents help when possible. Tastings provided.
🎨 Crafts: Watercolor or Adult Coloring - Real watercolor sets, brushes, paper. Or detailed adult coloring books with colored pencils.
🌿 Outdoor: Garden Club Workday - Light gardening - watering, deadheading, planting seedlings. Sunscreen and hats provided.</t>
  </si>
  <si>
    <t xml:space="preserve">Movie Night: 'Hidden Figures' (2016)</t>
  </si>
  <si>
    <t xml:space="preserve">Saturday Outdoor Walk</t>
  </si>
  <si>
    <t xml:space="preserve">Outdoor 45-min walk in country/Derby music.</t>
  </si>
  <si>
    <t xml:space="preserve">🎲 Game: Card Tournament - Skip-Bo, Bridge, Hand-and-Foot, Pinochle - whatever the community plays. Multiple tables. Track winners on a leaderboard.
☕ Social: Current Events Discussion - Activity director brings 3-5 articles from the morning paper. Group discusses. Coffee and tea. 60 min.
🎵 Music: Music Trivia Hour - Name That Tune format with 5-second clips spanning 6 decades. Team scoring. Friendly competition.
🍰 Food: Mint Lemonade + Saturday Card Tournament - Mint lemonade ('non-alcoholic julep'). Card games. Whiteboard leaderboard.
🎨 Crafts: Watercolor or Adult Coloring - Real watercolor sets, brushes, paper. Or detailed adult coloring books with colored pencils.
🌿 Outdoor: Garden Club Workday - Light gardening - watering, deadheading, planting seedlings. Sunscreen and hats provided.</t>
  </si>
  <si>
    <t xml:space="preserve">Closing Day Choice Class</t>
  </si>
  <si>
    <t xml:space="preserve">Resident picks - walk, yoga, dance, or strength. 30 min. Goodbye-to-May toast after.</t>
  </si>
  <si>
    <t xml:space="preserve">🎲 Game: Card Tournament - Skip-Bo, Bridge, Hand-and-Foot, Pinochle - whatever the community plays. Multiple tables. Track winners on a leaderboard.
☕ Social: Current Events Discussion - Activity director brings 3-5 articles from the morning paper. Group discusses. Coffee and tea. 60 min.
🎵 Music: Music Trivia Hour - Name That Tune format with 5-second clips spanning 6 decades. Team scoring. Friendly competition.
🍰 Food: Macaroon &amp; Tea Closing Social - French and coconut macaroons. Tea service. Soft music. Photo slideshow of May. 60 min.
🎨 Crafts: Watercolor or Adult Coloring - Real watercolor sets, brushes, paper. Or detailed adult coloring books with colored pencils.
🌿 Outdoor: Garden Club Workday - Light gardening - watering, deadheading, planting seedlings. Sunscreen and hats provided.</t>
  </si>
  <si>
    <t xml:space="preserve">Movie Night: 'The Sound of Music' (1965)</t>
  </si>
  <si>
    <t xml:space="preserve">May 2026 - BONUS MONTHLY EVENTS</t>
  </si>
  <si>
    <t xml:space="preserve">Event</t>
  </si>
  <si>
    <t xml:space="preserve">Description</t>
  </si>
  <si>
    <t xml:space="preserve">Supplies Needed</t>
  </si>
  <si>
    <t xml:space="preserve">Lead Staff</t>
  </si>
  <si>
    <t xml:space="preserve">Kentucky Derby Watch Party</t>
  </si>
  <si>
    <t xml:space="preserve">Gather residents in the activity room with a TV tuned to NBC's Derby coverage (post time around 6:45 PM ET). Set up a 'Run for the Roses' theme: red rose centerpieces, paper fancy hats for residents to decorate, mock $1 betting slips (use poker chips, no real wagering), mint juleps (mocktail or alcoholic per facility policy), and a pre-race trivia game about famous Triple Crown winners. Print a list of the entered horses so residents can pick a favorite. MC adaptation: pre-decorated hats; play 'My Old Kentucky Home' on a loop.</t>
  </si>
  <si>
    <t xml:space="preserve">TV, paper hats, ribbons/feathers/glue, red roses, mint mocktails, play money, race-day printable</t>
  </si>
  <si>
    <t xml:space="preserve">Cinco de Mayo Fiesta</t>
  </si>
  <si>
    <t xml:space="preserve">Mid-afternoon fiesta with mariachi music playlist, paper flag banners, guacamole-and-chip station (or tortilla pinwheels for soft diets), non-alcoholic agua fresca, and a piñata-style 'tap with a paddle' alternative where residents take turns tapping a hanging crepe-paper container that breaks open easily. Mexican loteria can be played as a Bingo variant - we have a printable card on the Word Game tab.</t>
  </si>
  <si>
    <t xml:space="preserve">Mariachi music, decorations, snacks, loteria cards, soft piñata</t>
  </si>
  <si>
    <t xml:space="preserve">Mother's Day Tea (Pre-celebration)</t>
  </si>
  <si>
    <t xml:space="preserve">High tea event timed before Mother's Day so visiting families can attend. Set tables with linen, china teacups, finger sandwiches (cucumber, egg salad), scones with jam, lemon bars. Live or recorded harp / piano music. Honor every female resident as a 'mother figure' regardless of biological motherhood. Hand out fresh flower corsages or boutonnieres. Have a memory book at each table where families and residents can record favorite memories of their own mothers.</t>
  </si>
  <si>
    <t xml:space="preserve">Tea service, finger foods, flowers, memory books/pens, soft music</t>
  </si>
  <si>
    <t xml:space="preserve">Armed Forces Day Honor Ceremony</t>
  </si>
  <si>
    <t xml:space="preserve">30-minute ceremony in the dining room recognizing veteran residents and staff. Display branch flags (Army, Navy, Air Force, Marines, Coast Guard, Space Force). Each veteran resident receives a hand-signed thank-you card prepared by local schoolchildren or staff in advance. Play patriotic music (anthems of each branch). Invite a local color guard or scout troop if available. Serve red, white, and blue cupcakes. Photograph each veteran for the family bulletin board.</t>
  </si>
  <si>
    <t xml:space="preserve">Flags, thank-you cards, patriotic playlist, cupcakes, camera</t>
  </si>
  <si>
    <t xml:space="preserve">Memorial Day Cookout &amp; Remembrance</t>
  </si>
  <si>
    <t xml:space="preserve">All-facility outdoor (weather permitting) or activity-room cookout. Hot dogs, hamburgers, potato salad, watermelon, lemonade, and ice cream. Live music if budget allows - otherwise a curated patriotic + 1950s-60s playlist. Brief moment of silence at noon (national tradition). Display photos of veteran residents in uniform. Outdoor games: horseshoes (lightweight rubber), corn-hole, lawn bowling. MC/SN: shaded patio seating, pinwheels and flags to hold, music focus.</t>
  </si>
  <si>
    <t xml:space="preserve">Cookout food, beverages, decorations, lawn games, sound system</t>
  </si>
  <si>
    <t xml:space="preserve">Senior Health &amp; Fitness Fair</t>
  </si>
  <si>
    <t xml:space="preserve">Half-day mini-fair with stations residents rotate through: (1) Blood pressure check by nursing staff, (2) Hand-grip strength assessment, (3) Hydration education + flavored water tasting, (4) Brain-game station with crosswords and Sudoku, (5) Chair-yoga demo. Hand out 'Health Champion' ribbons to all participants.</t>
  </si>
  <si>
    <t xml:space="preserve">BP cuff, grip dynamometer, water/fruit, puzzles, ribbons</t>
  </si>
  <si>
    <t xml:space="preserve">May 2026 HOLIDAYS &amp; FUN DAYS</t>
  </si>
  <si>
    <t xml:space="preserve">Holiday / Theme</t>
  </si>
  <si>
    <t xml:space="preserve">🇮🇹 TRAVEL DAY: Italy - National Memo Day &amp; National Strawberries &amp; Cream Day</t>
  </si>
  <si>
    <t xml:space="preserve">RESIDENT ROSTER</t>
  </si>
  <si>
    <t xml:space="preserve">Replace placeholder names with your residents. Tag each with MC / AL / IL. Names auto-flow into the Charting tabs.</t>
  </si>
  <si>
    <t xml:space="preserve">#</t>
  </si>
  <si>
    <t xml:space="preserve">Resident Name</t>
  </si>
  <si>
    <t xml:space="preserve">Care Level (MC/AL/IL)</t>
  </si>
  <si>
    <t xml:space="preserve">Notes</t>
  </si>
  <si>
    <t xml:space="preserve">Resident 1</t>
  </si>
  <si>
    <t xml:space="preserve">AL</t>
  </si>
  <si>
    <t xml:space="preserve">Resident 2</t>
  </si>
  <si>
    <t xml:space="preserve">Resident 3</t>
  </si>
  <si>
    <t xml:space="preserve">Resident 4</t>
  </si>
  <si>
    <t xml:space="preserve">Resident 5</t>
  </si>
  <si>
    <t xml:space="preserve">Resident 6</t>
  </si>
  <si>
    <t xml:space="preserve">Resident 7</t>
  </si>
  <si>
    <t xml:space="preserve">Resident 8</t>
  </si>
  <si>
    <t xml:space="preserve">Resident 9</t>
  </si>
  <si>
    <t xml:space="preserve">Resident 10</t>
  </si>
  <si>
    <t xml:space="preserve">Resident 11</t>
  </si>
  <si>
    <t xml:space="preserve">Resident 12</t>
  </si>
  <si>
    <t xml:space="preserve">Resident 13</t>
  </si>
  <si>
    <t xml:space="preserve">Resident 14</t>
  </si>
  <si>
    <t xml:space="preserve">Resident 15</t>
  </si>
  <si>
    <t xml:space="preserve">PARTICIPATION CHARTING - MEMORY CARE - May 2026</t>
  </si>
  <si>
    <t xml:space="preserve">Codes: A = Active  |  O = Observed  |  D = Declined  |  N/A = Not Available  |  Blank = no record</t>
  </si>
  <si>
    <t xml:space="preserve">RESIDENT</t>
  </si>
  <si>
    <t xml:space="preserve">1
Fri</t>
  </si>
  <si>
    <t xml:space="preserve">2
Sat</t>
  </si>
  <si>
    <t xml:space="preserve">3
Sun</t>
  </si>
  <si>
    <t xml:space="preserve">4
Mon</t>
  </si>
  <si>
    <t xml:space="preserve">5
Tue</t>
  </si>
  <si>
    <t xml:space="preserve">6
Wed</t>
  </si>
  <si>
    <t xml:space="preserve">7
Thu</t>
  </si>
  <si>
    <t xml:space="preserve">8
Fri</t>
  </si>
  <si>
    <t xml:space="preserve">9
Sat</t>
  </si>
  <si>
    <t xml:space="preserve">10
Sun</t>
  </si>
  <si>
    <t xml:space="preserve">11
Mon</t>
  </si>
  <si>
    <t xml:space="preserve">12
Tue</t>
  </si>
  <si>
    <t xml:space="preserve">13
Wed</t>
  </si>
  <si>
    <t xml:space="preserve">14
Thu</t>
  </si>
  <si>
    <t xml:space="preserve">15
Fri</t>
  </si>
  <si>
    <t xml:space="preserve">16
Sat</t>
  </si>
  <si>
    <t xml:space="preserve">17
Sun</t>
  </si>
  <si>
    <t xml:space="preserve">18
Mon</t>
  </si>
  <si>
    <t xml:space="preserve">19
Tue</t>
  </si>
  <si>
    <t xml:space="preserve">20
Wed</t>
  </si>
  <si>
    <t xml:space="preserve">21
Thu</t>
  </si>
  <si>
    <t xml:space="preserve">22
Fri</t>
  </si>
  <si>
    <t xml:space="preserve">23
Sat</t>
  </si>
  <si>
    <t xml:space="preserve">24
Sun</t>
  </si>
  <si>
    <t xml:space="preserve">25
Mon</t>
  </si>
  <si>
    <t xml:space="preserve">26
Tue</t>
  </si>
  <si>
    <t xml:space="preserve">27
Wed</t>
  </si>
  <si>
    <t xml:space="preserve">28
Thu</t>
  </si>
  <si>
    <t xml:space="preserve">29
Fri</t>
  </si>
  <si>
    <t xml:space="preserve">30
Sat</t>
  </si>
  <si>
    <t xml:space="preserve">31
Sun</t>
  </si>
  <si>
    <t xml:space="preserve">Active</t>
  </si>
  <si>
    <t xml:space="preserve">Observed</t>
  </si>
  <si>
    <t xml:space="preserve">Declined</t>
  </si>
  <si>
    <t xml:space="preserve">N/A</t>
  </si>
  <si>
    <t xml:space="preserve">Engage %</t>
  </si>
  <si>
    <t xml:space="preserve">AM</t>
  </si>
  <si>
    <t xml:space="preserve">Triv</t>
  </si>
  <si>
    <t xml:space="preserve">News</t>
  </si>
  <si>
    <t xml:space="preserve">Mlw</t>
  </si>
  <si>
    <t xml:space="preserve">PM</t>
  </si>
  <si>
    <t xml:space="preserve">Word</t>
  </si>
  <si>
    <t xml:space="preserve">Eve</t>
  </si>
  <si>
    <t xml:space="preserve">PARTICIPATION CHARTING - ASSISTED LIVING - May 2026</t>
  </si>
  <si>
    <t xml:space="preserve">PARTICIPATION CHARTING - INDEPENDENT - May 2026</t>
  </si>
  <si>
    <t xml:space="preserve">MOVIE &amp; GROUP GAME LIBRARY</t>
  </si>
  <si>
    <t xml:space="preserve">MOVIES</t>
  </si>
  <si>
    <t xml:space="preserve">Title (Year)</t>
  </si>
  <si>
    <t xml:space="preserve">Rating / Runtime</t>
  </si>
  <si>
    <t xml:space="preserve">Why It Works</t>
  </si>
  <si>
    <t xml:space="preserve">Driving Miss Daisy (1989)</t>
  </si>
  <si>
    <t xml:space="preserve">PG, 99 min</t>
  </si>
  <si>
    <t xml:space="preserve">Friendship across decades</t>
  </si>
  <si>
    <t xml:space="preserve">On Golden Pond (1981)</t>
  </si>
  <si>
    <t xml:space="preserve">PG, 109 min</t>
  </si>
  <si>
    <t xml:space="preserve">Aging couple at a summer cabin</t>
  </si>
  <si>
    <t xml:space="preserve">Fried Green Tomatoes (1991)</t>
  </si>
  <si>
    <t xml:space="preserve">PG-13, 130 min</t>
  </si>
  <si>
    <t xml:space="preserve">Southern friendship</t>
  </si>
  <si>
    <t xml:space="preserve">Steel Magnolias (1989)</t>
  </si>
  <si>
    <t xml:space="preserve">PG, 117 min</t>
  </si>
  <si>
    <t xml:space="preserve">Mother-daughter classic</t>
  </si>
  <si>
    <t xml:space="preserve">Cocoon (1985)</t>
  </si>
  <si>
    <t xml:space="preserve">PG-13, 117 min</t>
  </si>
  <si>
    <t xml:space="preserve">Seniors at a Florida home</t>
  </si>
  <si>
    <t xml:space="preserve">The Best Exotic Marigold Hotel (2011)</t>
  </si>
  <si>
    <t xml:space="preserve">PG-13, 124 min</t>
  </si>
  <si>
    <t xml:space="preserve">British seniors in India</t>
  </si>
  <si>
    <t xml:space="preserve">The Notebook (2004)</t>
  </si>
  <si>
    <t xml:space="preserve">PG-13, 123 min</t>
  </si>
  <si>
    <t xml:space="preserve">Love story spanning decades</t>
  </si>
  <si>
    <t xml:space="preserve">A League of Their Own (1992)</t>
  </si>
  <si>
    <t xml:space="preserve">PG, 128 min</t>
  </si>
  <si>
    <t xml:space="preserve">Women's WWII baseball</t>
  </si>
  <si>
    <t xml:space="preserve">Field of Dreams (1989)</t>
  </si>
  <si>
    <t xml:space="preserve">PG, 107 min</t>
  </si>
  <si>
    <t xml:space="preserve">Baseball + nostalgia</t>
  </si>
  <si>
    <t xml:space="preserve">Calendar Girls (2003)</t>
  </si>
  <si>
    <t xml:space="preserve">PG-13, 108 min</t>
  </si>
  <si>
    <t xml:space="preserve">British charity calendar</t>
  </si>
  <si>
    <t xml:space="preserve">Seabiscuit (2003)</t>
  </si>
  <si>
    <t xml:space="preserve">PG-13, 140 min</t>
  </si>
  <si>
    <t xml:space="preserve">Depression-era racehorse</t>
  </si>
  <si>
    <t xml:space="preserve">The Sound of Music (1965)</t>
  </si>
  <si>
    <t xml:space="preserve">G, 174 min</t>
  </si>
  <si>
    <t xml:space="preserve">Musical sing-along</t>
  </si>
  <si>
    <t xml:space="preserve">The Princess Bride (1987)</t>
  </si>
  <si>
    <t xml:space="preserve">PG, 98 min</t>
  </si>
  <si>
    <t xml:space="preserve">Cross-generational fairy tale</t>
  </si>
  <si>
    <t xml:space="preserve">Hello, Dolly! (1969)</t>
  </si>
  <si>
    <t xml:space="preserve">G, 146 min</t>
  </si>
  <si>
    <t xml:space="preserve">Classic musical</t>
  </si>
  <si>
    <t xml:space="preserve">Singin' in the Rain (1952)</t>
  </si>
  <si>
    <t xml:space="preserve">G, 103 min</t>
  </si>
  <si>
    <t xml:space="preserve">It's a Wonderful Life (1946)</t>
  </si>
  <si>
    <t xml:space="preserve">G, 130 min</t>
  </si>
  <si>
    <t xml:space="preserve">Anytime classic</t>
  </si>
  <si>
    <t xml:space="preserve">GROUP GAMES</t>
  </si>
  <si>
    <t xml:space="preserve">Game</t>
  </si>
  <si>
    <t xml:space="preserve">How It Works / Setup</t>
  </si>
  <si>
    <t xml:space="preserve">Bingo</t>
  </si>
  <si>
    <t xml:space="preserve">Standard senior favorite - large print cards required</t>
  </si>
  <si>
    <t xml:space="preserve">Pictionary (Senior Edition)</t>
  </si>
  <si>
    <t xml:space="preserve">Whiteboard, large markers, easy clue cards</t>
  </si>
  <si>
    <t xml:space="preserve">Charades</t>
  </si>
  <si>
    <t xml:space="preserve">Senior-friendly clue list (chores, actors, animals)</t>
  </si>
  <si>
    <t xml:space="preserve">Wheel of Fortune (DIY)</t>
  </si>
  <si>
    <t xml:space="preserve">Whiteboard version - run by activity director</t>
  </si>
  <si>
    <t xml:space="preserve">Name That Tune</t>
  </si>
  <si>
    <t xml:space="preserve">5-second clips, team scoring</t>
  </si>
  <si>
    <t xml:space="preserve">Loteria (Mexican Bingo)</t>
  </si>
  <si>
    <t xml:space="preserve">Picture cards instead of numbers</t>
  </si>
  <si>
    <t xml:space="preserve">Categories</t>
  </si>
  <si>
    <t xml:space="preserve">Letter from a hat, 4 categories per round</t>
  </si>
  <si>
    <t xml:space="preserve">Trivia (decade-themed)</t>
  </si>
  <si>
    <t xml:space="preserve">By era - 40s, 50s, 60s, 70s, 80s</t>
  </si>
  <si>
    <t xml:space="preserve">Music Bingo</t>
  </si>
  <si>
    <t xml:space="preserve">Cards with song titles instead of numbers</t>
  </si>
  <si>
    <t xml:space="preserve">Card Tournament</t>
  </si>
  <si>
    <t xml:space="preserve">Skip-Bo, UNO, Rummy, Bridge - multiple tables</t>
  </si>
  <si>
    <t xml:space="preserve">Word Scramble</t>
  </si>
  <si>
    <t xml:space="preserve">Themed (food, holidays, names)</t>
  </si>
  <si>
    <t xml:space="preserve">Memory Match</t>
  </si>
  <si>
    <t xml:space="preserve">Picture cards face-down, find pairs</t>
  </si>
  <si>
    <t xml:space="preserve">Beach Ball Toss</t>
  </si>
  <si>
    <t xml:space="preserve">Soft ball with conversation prompts written on it</t>
  </si>
  <si>
    <t xml:space="preserve">Reminiscence Circle</t>
  </si>
  <si>
    <t xml:space="preserve">Decade props passed around, share memories</t>
  </si>
</sst>
</file>

<file path=xl/styles.xml><?xml version="1.0" encoding="utf-8"?>
<styleSheet xmlns="http://schemas.openxmlformats.org/spreadsheetml/2006/main">
  <numFmts count="2">
    <numFmt numFmtId="164" formatCode="General"/>
    <numFmt numFmtId="165" formatCode="0%"/>
  </numFmts>
  <fonts count="31">
    <font>
      <sz val="11"/>
      <color theme="1"/>
      <name val="Calibri"/>
      <family val="2"/>
      <charset val="1"/>
    </font>
    <font>
      <sz val="10"/>
      <name val="Arial"/>
      <family val="0"/>
    </font>
    <font>
      <sz val="10"/>
      <name val="Arial"/>
      <family val="0"/>
    </font>
    <font>
      <sz val="10"/>
      <name val="Arial"/>
      <family val="0"/>
    </font>
    <font>
      <b val="true"/>
      <sz val="32"/>
      <color rgb="FF1F3864"/>
      <name val="Arial"/>
      <family val="0"/>
      <charset val="1"/>
    </font>
    <font>
      <b val="true"/>
      <sz val="18"/>
      <color rgb="FF2E75B6"/>
      <name val="Arial"/>
      <family val="0"/>
      <charset val="1"/>
    </font>
    <font>
      <i val="true"/>
      <sz val="12"/>
      <color rgb="FF808080"/>
      <name val="Arial"/>
      <family val="0"/>
      <charset val="1"/>
    </font>
    <font>
      <i val="true"/>
      <sz val="11"/>
      <color rgb="FF808080"/>
      <name val="Arial"/>
      <family val="0"/>
      <charset val="1"/>
    </font>
    <font>
      <sz val="11"/>
      <name val="Arial"/>
      <family val="0"/>
      <charset val="1"/>
    </font>
    <font>
      <b val="true"/>
      <sz val="14"/>
      <color rgb="FF1F3864"/>
      <name val="Arial"/>
      <family val="0"/>
      <charset val="1"/>
    </font>
    <font>
      <b val="true"/>
      <sz val="12"/>
      <color rgb="FFBF9000"/>
      <name val="Arial"/>
      <family val="0"/>
      <charset val="1"/>
    </font>
    <font>
      <b val="true"/>
      <sz val="22"/>
      <color rgb="FFFFFFFF"/>
      <name val="Arial"/>
      <family val="0"/>
      <charset val="1"/>
    </font>
    <font>
      <i val="true"/>
      <sz val="11"/>
      <color rgb="FFFFFFFF"/>
      <name val="Arial"/>
      <family val="0"/>
      <charset val="1"/>
    </font>
    <font>
      <b val="true"/>
      <sz val="10"/>
      <color rgb="FFFFFFFF"/>
      <name val="Arial"/>
      <family val="0"/>
      <charset val="1"/>
    </font>
    <font>
      <b val="true"/>
      <sz val="10"/>
      <color rgb="FF1F3864"/>
      <name val="Arial"/>
      <family val="0"/>
      <charset val="1"/>
    </font>
    <font>
      <sz val="7"/>
      <name val="Arial"/>
      <family val="0"/>
      <charset val="1"/>
    </font>
    <font>
      <i val="true"/>
      <sz val="8"/>
      <name val="Arial"/>
      <family val="0"/>
      <charset val="1"/>
    </font>
    <font>
      <b val="true"/>
      <sz val="11"/>
      <color rgb="FFFFFFFF"/>
      <name val="Arial"/>
      <family val="0"/>
      <charset val="1"/>
    </font>
    <font>
      <b val="true"/>
      <sz val="10"/>
      <name val="Arial"/>
      <family val="0"/>
      <charset val="1"/>
    </font>
    <font>
      <sz val="10"/>
      <name val="Arial"/>
      <family val="0"/>
      <charset val="1"/>
    </font>
    <font>
      <b val="true"/>
      <sz val="18"/>
      <color rgb="FFFFFFFF"/>
      <name val="Arial"/>
      <family val="0"/>
      <charset val="1"/>
    </font>
    <font>
      <b val="true"/>
      <sz val="16"/>
      <color rgb="FFFFFFFF"/>
      <name val="Arial"/>
      <family val="0"/>
      <charset val="1"/>
    </font>
    <font>
      <i val="true"/>
      <sz val="10"/>
      <color rgb="FF808080"/>
      <name val="Arial"/>
      <family val="0"/>
      <charset val="1"/>
    </font>
    <font>
      <b val="true"/>
      <sz val="14"/>
      <color rgb="FFFFFFFF"/>
      <name val="Arial"/>
      <family val="0"/>
      <charset val="1"/>
    </font>
    <font>
      <i val="true"/>
      <sz val="10"/>
      <name val="Arial"/>
      <family val="0"/>
      <charset val="1"/>
    </font>
    <font>
      <b val="true"/>
      <sz val="8"/>
      <color rgb="FF1F3864"/>
      <name val="Arial"/>
      <family val="0"/>
      <charset val="1"/>
    </font>
    <font>
      <b val="true"/>
      <sz val="9"/>
      <color rgb="FF1F3864"/>
      <name val="Arial"/>
      <family val="0"/>
      <charset val="1"/>
    </font>
    <font>
      <b val="true"/>
      <sz val="7"/>
      <color rgb="FF808080"/>
      <name val="Arial"/>
      <family val="0"/>
      <charset val="1"/>
    </font>
    <font>
      <sz val="8"/>
      <name val="Arial"/>
      <family val="0"/>
      <charset val="1"/>
    </font>
    <font>
      <b val="true"/>
      <sz val="9"/>
      <name val="Arial"/>
      <family val="0"/>
      <charset val="1"/>
    </font>
    <font>
      <b val="true"/>
      <sz val="12"/>
      <color rgb="FFFFFFFF"/>
      <name val="Arial"/>
      <family val="0"/>
      <charset val="1"/>
    </font>
  </fonts>
  <fills count="19">
    <fill>
      <patternFill patternType="none"/>
    </fill>
    <fill>
      <patternFill patternType="gray125"/>
    </fill>
    <fill>
      <patternFill patternType="solid">
        <fgColor rgb="FFD9E2F3"/>
        <bgColor rgb="FFE4DFEC"/>
      </patternFill>
    </fill>
    <fill>
      <patternFill patternType="solid">
        <fgColor rgb="FF7030A0"/>
        <bgColor rgb="FF993366"/>
      </patternFill>
    </fill>
    <fill>
      <patternFill patternType="solid">
        <fgColor rgb="FF1F3864"/>
        <bgColor rgb="FF333333"/>
      </patternFill>
    </fill>
    <fill>
      <patternFill patternType="solid">
        <fgColor rgb="FFF2F4F7"/>
        <bgColor rgb="FFEAF2FB"/>
      </patternFill>
    </fill>
    <fill>
      <patternFill patternType="solid">
        <fgColor rgb="FFFFF2CC"/>
        <bgColor rgb="FFFCE4D6"/>
      </patternFill>
    </fill>
    <fill>
      <patternFill patternType="solid">
        <fgColor rgb="FFEAF2FB"/>
        <bgColor rgb="FFF2F4F7"/>
      </patternFill>
    </fill>
    <fill>
      <patternFill patternType="solid">
        <fgColor rgb="FFFFFFFF"/>
        <bgColor rgb="FFFAFAFA"/>
      </patternFill>
    </fill>
    <fill>
      <patternFill patternType="solid">
        <fgColor rgb="FFFAFAFA"/>
        <bgColor rgb="FFFFFFFF"/>
      </patternFill>
    </fill>
    <fill>
      <patternFill patternType="solid">
        <fgColor rgb="FFFFD966"/>
        <bgColor rgb="FFFFD580"/>
      </patternFill>
    </fill>
    <fill>
      <patternFill patternType="solid">
        <fgColor rgb="FFFFD580"/>
        <bgColor rgb="FFFFD966"/>
      </patternFill>
    </fill>
    <fill>
      <patternFill patternType="solid">
        <fgColor rgb="FF2E75B6"/>
        <bgColor rgb="FF0066CC"/>
      </patternFill>
    </fill>
    <fill>
      <patternFill patternType="solid">
        <fgColor rgb="FF548235"/>
        <bgColor rgb="FF339966"/>
      </patternFill>
    </fill>
    <fill>
      <patternFill patternType="solid">
        <fgColor rgb="FFE2EFDA"/>
        <bgColor rgb="FFDDEBF7"/>
      </patternFill>
    </fill>
    <fill>
      <patternFill patternType="solid">
        <fgColor rgb="FFE4DFEC"/>
        <bgColor rgb="FFD9E2F3"/>
      </patternFill>
    </fill>
    <fill>
      <patternFill patternType="solid">
        <fgColor rgb="FFFCE4D6"/>
        <bgColor rgb="FFF4E1F4"/>
      </patternFill>
    </fill>
    <fill>
      <patternFill patternType="solid">
        <fgColor rgb="FFDDEBF7"/>
        <bgColor rgb="FFD9E2F3"/>
      </patternFill>
    </fill>
    <fill>
      <patternFill patternType="solid">
        <fgColor rgb="FFF4E1F4"/>
        <bgColor rgb="FFE4DFEC"/>
      </patternFill>
    </fill>
  </fills>
  <borders count="4">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style="thin">
        <color rgb="FFBFBFBF"/>
      </right>
      <top style="thin">
        <color rgb="FFBFBFBF"/>
      </top>
      <bottom/>
      <diagonal/>
    </border>
    <border diagonalUp="false" diagonalDown="false">
      <left style="thin">
        <color rgb="FFBFBFBF"/>
      </left>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2" borderId="1"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3" borderId="0" xfId="0" applyFont="true" applyBorder="true" applyAlignment="true" applyProtection="false">
      <alignment horizontal="center" vertical="center" textRotation="0" wrapText="false" indent="0" shrinkToFit="false"/>
      <protection locked="true" hidden="false"/>
    </xf>
    <xf numFmtId="164" fontId="12" fillId="4" borderId="0" xfId="0" applyFont="true" applyBorder="true" applyAlignment="true" applyProtection="false">
      <alignment horizontal="center" vertical="center" textRotation="0" wrapText="false" indent="0" shrinkToFit="false"/>
      <protection locked="true" hidden="false"/>
    </xf>
    <xf numFmtId="164" fontId="13" fillId="4" borderId="1" xfId="0" applyFont="true" applyBorder="true" applyAlignment="true" applyProtection="false">
      <alignment horizontal="center" vertical="center" textRotation="0" wrapText="fals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4" fontId="14" fillId="2" borderId="1" xfId="0" applyFont="true" applyBorder="true" applyAlignment="true" applyProtection="false">
      <alignment horizontal="left" vertical="top" textRotation="0" wrapText="true" indent="0" shrinkToFit="false"/>
      <protection locked="true" hidden="false"/>
    </xf>
    <xf numFmtId="164" fontId="14" fillId="6" borderId="1" xfId="0" applyFont="true" applyBorder="true" applyAlignment="true" applyProtection="false">
      <alignment horizontal="left" vertical="top" textRotation="0" wrapText="true" indent="0" shrinkToFit="false"/>
      <protection locked="true" hidden="false"/>
    </xf>
    <xf numFmtId="164" fontId="14" fillId="7" borderId="1" xfId="0" applyFont="true" applyBorder="true" applyAlignment="true" applyProtection="false">
      <alignment horizontal="left" vertical="top" textRotation="0" wrapText="true" indent="0" shrinkToFit="false"/>
      <protection locked="true" hidden="false"/>
    </xf>
    <xf numFmtId="164" fontId="15" fillId="8" borderId="1" xfId="0" applyFont="true" applyBorder="true" applyAlignment="true" applyProtection="false">
      <alignment horizontal="left" vertical="top" textRotation="0" wrapText="true" indent="0" shrinkToFit="false"/>
      <protection locked="true" hidden="false"/>
    </xf>
    <xf numFmtId="164" fontId="15" fillId="9" borderId="1" xfId="0" applyFont="true" applyBorder="true" applyAlignment="true" applyProtection="false">
      <alignment horizontal="left" vertical="top" textRotation="0" wrapText="true" indent="0" shrinkToFit="false"/>
      <protection locked="true" hidden="false"/>
    </xf>
    <xf numFmtId="164" fontId="14" fillId="10" borderId="1" xfId="0" applyFont="true" applyBorder="true" applyAlignment="true" applyProtection="false">
      <alignment horizontal="left" vertical="top" textRotation="0" wrapText="true" indent="0" shrinkToFit="false"/>
      <protection locked="true" hidden="false"/>
    </xf>
    <xf numFmtId="164" fontId="14" fillId="11" borderId="1" xfId="0" applyFont="true" applyBorder="true" applyAlignment="true" applyProtection="false">
      <alignment horizontal="left" vertical="top" textRotation="0" wrapText="true" indent="0" shrinkToFit="false"/>
      <protection locked="true" hidden="false"/>
    </xf>
    <xf numFmtId="164" fontId="16" fillId="7" borderId="0" xfId="0" applyFont="true" applyBorder="true" applyAlignment="true" applyProtection="false">
      <alignment horizontal="center" vertical="center" textRotation="0" wrapText="false" indent="0" shrinkToFit="false"/>
      <protection locked="true" hidden="false"/>
    </xf>
    <xf numFmtId="164" fontId="11" fillId="12" borderId="0" xfId="0" applyFont="true" applyBorder="true" applyAlignment="true" applyProtection="false">
      <alignment horizontal="center" vertical="center" textRotation="0" wrapText="false" indent="0" shrinkToFit="false"/>
      <protection locked="true" hidden="false"/>
    </xf>
    <xf numFmtId="164" fontId="11" fillId="13" borderId="0" xfId="0" applyFont="true" applyBorder="true" applyAlignment="true" applyProtection="false">
      <alignment horizontal="center" vertical="center" textRotation="0" wrapText="false" indent="0" shrinkToFit="false"/>
      <protection locked="true" hidden="false"/>
    </xf>
    <xf numFmtId="164" fontId="17" fillId="4" borderId="1" xfId="0" applyFont="true" applyBorder="true" applyAlignment="true" applyProtection="false">
      <alignment horizontal="center" vertical="center" textRotation="0" wrapText="true" indent="0" shrinkToFit="false"/>
      <protection locked="true" hidden="false"/>
    </xf>
    <xf numFmtId="164" fontId="18" fillId="0" borderId="1" xfId="0" applyFont="true" applyBorder="true" applyAlignment="true" applyProtection="false">
      <alignment horizontal="left" vertical="top" textRotation="0" wrapText="true" indent="0" shrinkToFit="false"/>
      <protection locked="true" hidden="false"/>
    </xf>
    <xf numFmtId="164" fontId="18" fillId="14" borderId="1" xfId="0" applyFont="true" applyBorder="true" applyAlignment="true" applyProtection="false">
      <alignment horizontal="left" vertical="top" textRotation="0" wrapText="true" indent="0" shrinkToFit="false"/>
      <protection locked="true" hidden="false"/>
    </xf>
    <xf numFmtId="164" fontId="19" fillId="0" borderId="1" xfId="0" applyFont="true" applyBorder="true" applyAlignment="true" applyProtection="false">
      <alignment horizontal="left" vertical="top" textRotation="0" wrapText="true" indent="0" shrinkToFit="false"/>
      <protection locked="true" hidden="false"/>
    </xf>
    <xf numFmtId="164" fontId="18" fillId="2" borderId="1" xfId="0" applyFont="true" applyBorder="true" applyAlignment="true" applyProtection="false">
      <alignment horizontal="left" vertical="top" textRotation="0" wrapText="true" indent="0" shrinkToFit="false"/>
      <protection locked="true" hidden="false"/>
    </xf>
    <xf numFmtId="164" fontId="18" fillId="7" borderId="1" xfId="0" applyFont="true" applyBorder="true" applyAlignment="true" applyProtection="false">
      <alignment horizontal="left" vertical="top" textRotation="0" wrapText="true" indent="0" shrinkToFit="false"/>
      <protection locked="true" hidden="false"/>
    </xf>
    <xf numFmtId="164" fontId="18" fillId="15" borderId="1" xfId="0" applyFont="true" applyBorder="true" applyAlignment="true" applyProtection="false">
      <alignment horizontal="left" vertical="top" textRotation="0" wrapText="true" indent="0" shrinkToFit="false"/>
      <protection locked="true" hidden="false"/>
    </xf>
    <xf numFmtId="164" fontId="18" fillId="6" borderId="1" xfId="0" applyFont="true" applyBorder="true" applyAlignment="true" applyProtection="false">
      <alignment horizontal="left" vertical="top" textRotation="0" wrapText="true" indent="0" shrinkToFit="false"/>
      <protection locked="true" hidden="false"/>
    </xf>
    <xf numFmtId="164" fontId="18" fillId="16" borderId="1" xfId="0" applyFont="true" applyBorder="true" applyAlignment="true" applyProtection="false">
      <alignment horizontal="left" vertical="top" textRotation="0" wrapText="true" indent="0" shrinkToFit="false"/>
      <protection locked="true" hidden="false"/>
    </xf>
    <xf numFmtId="164" fontId="18" fillId="10" borderId="1" xfId="0" applyFont="true" applyBorder="true" applyAlignment="true" applyProtection="false">
      <alignment horizontal="left" vertical="top" textRotation="0" wrapText="true" indent="0" shrinkToFit="false"/>
      <protection locked="true" hidden="false"/>
    </xf>
    <xf numFmtId="164" fontId="18" fillId="11" borderId="1" xfId="0" applyFont="true" applyBorder="true" applyAlignment="true" applyProtection="false">
      <alignment horizontal="left" vertical="top" textRotation="0" wrapText="true" indent="0" shrinkToFit="false"/>
      <protection locked="true" hidden="false"/>
    </xf>
    <xf numFmtId="164" fontId="20" fillId="4" borderId="0" xfId="0" applyFont="true" applyBorder="true" applyAlignment="true" applyProtection="false">
      <alignment horizontal="center" vertical="center" textRotation="0" wrapText="false" indent="0" shrinkToFit="false"/>
      <protection locked="true" hidden="false"/>
    </xf>
    <xf numFmtId="164" fontId="19" fillId="6" borderId="1" xfId="0" applyFont="true" applyBorder="true" applyAlignment="true" applyProtection="false">
      <alignment horizontal="left" vertical="top" textRotation="0" wrapText="true" indent="0" shrinkToFit="false"/>
      <protection locked="true" hidden="false"/>
    </xf>
    <xf numFmtId="164" fontId="21" fillId="4" borderId="0" xfId="0" applyFont="true" applyBorder="true" applyAlignment="true" applyProtection="false">
      <alignment horizontal="center" vertical="center" textRotation="0" wrapText="false" indent="0" shrinkToFit="false"/>
      <protection locked="true" hidden="false"/>
    </xf>
    <xf numFmtId="164" fontId="17" fillId="4" borderId="1" xfId="0" applyFont="true" applyBorder="true" applyAlignment="true" applyProtection="false">
      <alignment horizontal="center" vertical="center" textRotation="0" wrapText="false" indent="0" shrinkToFit="false"/>
      <protection locked="true" hidden="false"/>
    </xf>
    <xf numFmtId="164" fontId="19" fillId="8" borderId="1" xfId="0" applyFont="true" applyBorder="true" applyAlignment="true" applyProtection="false">
      <alignment horizontal="left" vertical="center" textRotation="0" wrapText="true" indent="0" shrinkToFit="false"/>
      <protection locked="true" hidden="false"/>
    </xf>
    <xf numFmtId="164" fontId="19" fillId="6" borderId="1" xfId="0" applyFont="true" applyBorder="true" applyAlignment="true" applyProtection="false">
      <alignment horizontal="left" vertical="center" textRotation="0" wrapText="true" indent="0" shrinkToFit="false"/>
      <protection locked="true" hidden="false"/>
    </xf>
    <xf numFmtId="164" fontId="19" fillId="7" borderId="1" xfId="0" applyFont="true" applyBorder="true" applyAlignment="true" applyProtection="false">
      <alignment horizontal="left" vertical="center" textRotation="0" wrapText="true" indent="0" shrinkToFit="false"/>
      <protection locked="true" hidden="false"/>
    </xf>
    <xf numFmtId="164" fontId="18" fillId="10" borderId="1" xfId="0" applyFont="true" applyBorder="true" applyAlignment="true" applyProtection="false">
      <alignment horizontal="left" vertical="center" textRotation="0" wrapText="true" indent="0" shrinkToFit="false"/>
      <protection locked="true" hidden="false"/>
    </xf>
    <xf numFmtId="164" fontId="18" fillId="11" borderId="1" xfId="0" applyFont="true" applyBorder="true" applyAlignment="true" applyProtection="false">
      <alignment horizontal="left" vertical="center" textRotation="0" wrapText="true" indent="0" shrinkToFit="false"/>
      <protection locked="true" hidden="false"/>
    </xf>
    <xf numFmtId="164" fontId="22" fillId="0" borderId="0" xfId="0" applyFont="true" applyBorder="true" applyAlignment="true" applyProtection="false">
      <alignment horizontal="center" vertical="bottom" textRotation="0" wrapText="false" indent="0" shrinkToFit="false"/>
      <protection locked="true" hidden="false"/>
    </xf>
    <xf numFmtId="164" fontId="17" fillId="4" borderId="1" xfId="0" applyFont="true" applyBorder="true" applyAlignment="true" applyProtection="false">
      <alignment horizontal="center" vertical="bottom" textRotation="0" wrapText="false" indent="0" shrinkToFit="false"/>
      <protection locked="true" hidden="false"/>
    </xf>
    <xf numFmtId="164" fontId="19" fillId="0" borderId="1" xfId="0" applyFont="true" applyBorder="true" applyAlignment="true" applyProtection="false">
      <alignment horizontal="center" vertical="center" textRotation="0" wrapText="false" indent="0" shrinkToFit="false"/>
      <protection locked="true" hidden="false"/>
    </xf>
    <xf numFmtId="164" fontId="19" fillId="0" borderId="1" xfId="0" applyFont="true" applyBorder="true" applyAlignment="true" applyProtection="false">
      <alignment horizontal="left" vertical="center" textRotation="0" wrapText="false" indent="0" shrinkToFit="false"/>
      <protection locked="true" hidden="false"/>
    </xf>
    <xf numFmtId="164" fontId="23" fillId="3" borderId="0" xfId="0" applyFont="true" applyBorder="true" applyAlignment="true" applyProtection="false">
      <alignment horizontal="center" vertical="center" textRotation="0" wrapText="false" indent="0" shrinkToFit="false"/>
      <protection locked="true" hidden="false"/>
    </xf>
    <xf numFmtId="164" fontId="24" fillId="7" borderId="0" xfId="0" applyFont="true" applyBorder="true" applyAlignment="true" applyProtection="false">
      <alignment horizontal="center" vertical="bottom" textRotation="0" wrapText="false" indent="0" shrinkToFit="false"/>
      <protection locked="true" hidden="false"/>
    </xf>
    <xf numFmtId="164" fontId="25" fillId="14" borderId="1" xfId="0" applyFont="true" applyBorder="true" applyAlignment="true" applyProtection="false">
      <alignment horizontal="center" vertical="center" textRotation="0" wrapText="true" indent="0" shrinkToFit="false"/>
      <protection locked="true" hidden="false"/>
    </xf>
    <xf numFmtId="164" fontId="25" fillId="17" borderId="1" xfId="0" applyFont="true" applyBorder="true" applyAlignment="true" applyProtection="false">
      <alignment horizontal="center" vertical="center" textRotation="0" wrapText="true" indent="0" shrinkToFit="false"/>
      <protection locked="true" hidden="false"/>
    </xf>
    <xf numFmtId="164" fontId="25" fillId="6" borderId="1" xfId="0" applyFont="true" applyBorder="true" applyAlignment="true" applyProtection="false">
      <alignment horizontal="center" vertical="center" textRotation="0" wrapText="true" indent="0" shrinkToFit="false"/>
      <protection locked="true" hidden="false"/>
    </xf>
    <xf numFmtId="164" fontId="25" fillId="16" borderId="1" xfId="0" applyFont="true" applyBorder="true" applyAlignment="true" applyProtection="false">
      <alignment horizontal="center" vertical="center" textRotation="0" wrapText="true" indent="0" shrinkToFit="false"/>
      <protection locked="true" hidden="false"/>
    </xf>
    <xf numFmtId="164" fontId="25" fillId="15" borderId="1" xfId="0" applyFont="true" applyBorder="true" applyAlignment="true" applyProtection="false">
      <alignment horizontal="center" vertical="center" textRotation="0" wrapText="true" indent="0" shrinkToFit="false"/>
      <protection locked="true" hidden="false"/>
    </xf>
    <xf numFmtId="164" fontId="25" fillId="7" borderId="1" xfId="0" applyFont="true" applyBorder="true" applyAlignment="true" applyProtection="false">
      <alignment horizontal="center" vertical="center" textRotation="0" wrapText="true" indent="0" shrinkToFit="false"/>
      <protection locked="true" hidden="false"/>
    </xf>
    <xf numFmtId="164" fontId="25" fillId="18" borderId="1" xfId="0" applyFont="true" applyBorder="true" applyAlignment="true" applyProtection="false">
      <alignment horizontal="center" vertical="center" textRotation="0" wrapText="true" indent="0" shrinkToFit="false"/>
      <protection locked="true" hidden="false"/>
    </xf>
    <xf numFmtId="164" fontId="26" fillId="14" borderId="2" xfId="0" applyFont="true" applyBorder="true" applyAlignment="true" applyProtection="false">
      <alignment horizontal="center" vertical="center" textRotation="0" wrapText="true" indent="0" shrinkToFit="false"/>
      <protection locked="true" hidden="false"/>
    </xf>
    <xf numFmtId="164" fontId="26" fillId="2" borderId="2" xfId="0" applyFont="true" applyBorder="true" applyAlignment="true" applyProtection="false">
      <alignment horizontal="center" vertical="center" textRotation="0" wrapText="true" indent="0" shrinkToFit="false"/>
      <protection locked="true" hidden="false"/>
    </xf>
    <xf numFmtId="164" fontId="26" fillId="16" borderId="2" xfId="0" applyFont="true" applyBorder="true" applyAlignment="true" applyProtection="false">
      <alignment horizontal="center" vertical="center" textRotation="0" wrapText="true" indent="0" shrinkToFit="false"/>
      <protection locked="true" hidden="false"/>
    </xf>
    <xf numFmtId="164" fontId="26" fillId="5" borderId="2" xfId="0" applyFont="true" applyBorder="true" applyAlignment="true" applyProtection="false">
      <alignment horizontal="center" vertical="center" textRotation="0" wrapText="true" indent="0" shrinkToFit="false"/>
      <protection locked="true" hidden="false"/>
    </xf>
    <xf numFmtId="164" fontId="26" fillId="6" borderId="2" xfId="0" applyFont="true" applyBorder="true" applyAlignment="true" applyProtection="false">
      <alignment horizontal="center" vertical="center" textRotation="0" wrapText="true" indent="0" shrinkToFit="false"/>
      <protection locked="true" hidden="false"/>
    </xf>
    <xf numFmtId="164" fontId="27" fillId="5" borderId="1" xfId="0" applyFont="true" applyBorder="true" applyAlignment="true" applyProtection="false">
      <alignment horizontal="center" vertical="center" textRotation="0" wrapText="false" indent="0" shrinkToFit="false"/>
      <protection locked="true" hidden="false"/>
    </xf>
    <xf numFmtId="164" fontId="18" fillId="7" borderId="1" xfId="0" applyFont="true" applyBorder="true" applyAlignment="true" applyProtection="false">
      <alignment horizontal="left" vertical="center" textRotation="0" wrapText="false" indent="0" shrinkToFit="false"/>
      <protection locked="true" hidden="false"/>
    </xf>
    <xf numFmtId="164" fontId="28" fillId="8" borderId="1" xfId="0" applyFont="true" applyBorder="true" applyAlignment="true" applyProtection="false">
      <alignment horizontal="center" vertical="center" textRotation="0" wrapText="false" indent="0" shrinkToFit="false"/>
      <protection locked="true" hidden="false"/>
    </xf>
    <xf numFmtId="164" fontId="28" fillId="9" borderId="1" xfId="0" applyFont="true" applyBorder="true" applyAlignment="true" applyProtection="false">
      <alignment horizontal="center" vertical="center" textRotation="0" wrapText="false" indent="0" shrinkToFit="false"/>
      <protection locked="true" hidden="false"/>
    </xf>
    <xf numFmtId="164" fontId="29" fillId="14" borderId="1" xfId="0" applyFont="true" applyBorder="true" applyAlignment="true" applyProtection="false">
      <alignment horizontal="center" vertical="center" textRotation="0" wrapText="false" indent="0" shrinkToFit="false"/>
      <protection locked="true" hidden="false"/>
    </xf>
    <xf numFmtId="164" fontId="29" fillId="2" borderId="1" xfId="0" applyFont="true" applyBorder="true" applyAlignment="true" applyProtection="false">
      <alignment horizontal="center" vertical="center" textRotation="0" wrapText="false" indent="0" shrinkToFit="false"/>
      <protection locked="true" hidden="false"/>
    </xf>
    <xf numFmtId="164" fontId="29" fillId="16" borderId="1" xfId="0" applyFont="true" applyBorder="true" applyAlignment="true" applyProtection="false">
      <alignment horizontal="center" vertical="center" textRotation="0" wrapText="false" indent="0" shrinkToFit="false"/>
      <protection locked="true" hidden="false"/>
    </xf>
    <xf numFmtId="164" fontId="29" fillId="5" borderId="1" xfId="0" applyFont="true" applyBorder="true" applyAlignment="true" applyProtection="false">
      <alignment horizontal="center" vertical="center" textRotation="0" wrapText="false" indent="0" shrinkToFit="false"/>
      <protection locked="true" hidden="false"/>
    </xf>
    <xf numFmtId="165" fontId="29" fillId="6" borderId="1" xfId="0" applyFont="true" applyBorder="true" applyAlignment="true" applyProtection="false">
      <alignment horizontal="center" vertical="center" textRotation="0" wrapText="false" indent="0" shrinkToFit="false"/>
      <protection locked="true" hidden="false"/>
    </xf>
    <xf numFmtId="164" fontId="23" fillId="12" borderId="0" xfId="0" applyFont="true" applyBorder="true" applyAlignment="true" applyProtection="false">
      <alignment horizontal="center" vertical="center" textRotation="0" wrapText="false" indent="0" shrinkToFit="false"/>
      <protection locked="true" hidden="false"/>
    </xf>
    <xf numFmtId="164" fontId="23" fillId="13" borderId="0" xfId="0" applyFont="true" applyBorder="true" applyAlignment="true" applyProtection="false">
      <alignment horizontal="center" vertical="center" textRotation="0" wrapText="false" indent="0" shrinkToFit="false"/>
      <protection locked="true" hidden="false"/>
    </xf>
    <xf numFmtId="164" fontId="30" fillId="12" borderId="0" xfId="0" applyFont="true" applyBorder="true" applyAlignment="true" applyProtection="false">
      <alignment horizontal="center" vertical="bottom" textRotation="0" wrapText="false" indent="0" shrinkToFit="false"/>
      <protection locked="true" hidden="false"/>
    </xf>
    <xf numFmtId="164" fontId="18" fillId="0" borderId="1" xfId="0" applyFont="true" applyBorder="true" applyAlignment="true" applyProtection="false">
      <alignment horizontal="left" vertical="center" textRotation="0" wrapText="true" indent="0" shrinkToFit="false"/>
      <protection locked="true" hidden="false"/>
    </xf>
    <xf numFmtId="164" fontId="19" fillId="0" borderId="1" xfId="0" applyFont="true" applyBorder="true" applyAlignment="true" applyProtection="false">
      <alignment horizontal="left" vertical="center" textRotation="0" wrapText="true" indent="0" shrinkToFit="false"/>
      <protection locked="true" hidden="false"/>
    </xf>
    <xf numFmtId="164" fontId="17" fillId="4" borderId="1" xfId="0" applyFont="true" applyBorder="true" applyAlignment="false" applyProtection="false">
      <alignment horizontal="general" vertical="bottom" textRotation="0" wrapText="false" indent="0" shrinkToFit="false"/>
      <protection locked="true" hidden="false"/>
    </xf>
    <xf numFmtId="164" fontId="17" fillId="4" borderId="3" xfId="0" applyFont="true" applyBorder="true" applyAlignment="false" applyProtection="false">
      <alignment horizontal="general" vertical="bottom" textRotation="0" wrapText="false" indent="0" shrinkToFit="false"/>
      <protection locked="true" hidden="false"/>
    </xf>
    <xf numFmtId="164" fontId="18" fillId="6" borderId="1" xfId="0" applyFont="true" applyBorder="true" applyAlignment="true" applyProtection="false">
      <alignment horizontal="left" vertical="center" textRotation="0" wrapText="false" indent="0" shrinkToFit="false"/>
      <protection locked="true" hidden="false"/>
    </xf>
    <xf numFmtId="164" fontId="19" fillId="0" borderId="3"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ont>
        <name val="Arial"/>
        <charset val="1"/>
        <family val="0"/>
        <b val="1"/>
        <color rgb="FF548235"/>
        <sz val="8"/>
      </font>
      <fill>
        <patternFill>
          <bgColor rgb="FFE2EFDA"/>
        </patternFill>
      </fill>
    </dxf>
    <dxf>
      <font>
        <name val="Arial"/>
        <charset val="1"/>
        <family val="0"/>
        <b val="1"/>
        <color rgb="FF2E75B6"/>
        <sz val="8"/>
      </font>
      <fill>
        <patternFill>
          <bgColor rgb="FFD9E2F3"/>
        </patternFill>
      </fill>
    </dxf>
    <dxf>
      <font>
        <name val="Arial"/>
        <charset val="1"/>
        <family val="0"/>
        <b val="1"/>
        <color rgb="FFC00000"/>
        <sz val="8"/>
      </font>
      <fill>
        <patternFill>
          <bgColor rgb="FFFCE4D6"/>
        </patternFill>
      </fill>
    </dxf>
    <dxf>
      <font>
        <name val="Arial"/>
        <charset val="1"/>
        <family val="0"/>
        <i val="1"/>
        <color rgb="FF808080"/>
        <sz val="7"/>
      </font>
      <fill>
        <patternFill>
          <bgColor rgb="FFF2F4F7"/>
        </patternFill>
      </fill>
    </dxf>
  </dxfs>
  <colors>
    <indexedColors>
      <rgbColor rgb="FF000000"/>
      <rgbColor rgb="FFFFFFFF"/>
      <rgbColor rgb="FFC00000"/>
      <rgbColor rgb="FF00FF00"/>
      <rgbColor rgb="FF0000FF"/>
      <rgbColor rgb="FFFAFAFA"/>
      <rgbColor rgb="FFFF00FF"/>
      <rgbColor rgb="FF00FFFF"/>
      <rgbColor rgb="FF800000"/>
      <rgbColor rgb="FF008000"/>
      <rgbColor rgb="FF000080"/>
      <rgbColor rgb="FF548235"/>
      <rgbColor rgb="FF800080"/>
      <rgbColor rgb="FF008080"/>
      <rgbColor rgb="FFBFBFBF"/>
      <rgbColor rgb="FF808080"/>
      <rgbColor rgb="FF9999FF"/>
      <rgbColor rgb="FF7030A0"/>
      <rgbColor rgb="FFFFF2CC"/>
      <rgbColor rgb="FFDDEBF7"/>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EAF2FB"/>
      <rgbColor rgb="FFE2EFDA"/>
      <rgbColor rgb="FFFCE4D6"/>
      <rgbColor rgb="FFE4DFEC"/>
      <rgbColor rgb="FFF4E1F4"/>
      <rgbColor rgb="FFF2F4F7"/>
      <rgbColor rgb="FFFFD580"/>
      <rgbColor rgb="FF2E75B6"/>
      <rgbColor rgb="FF33CCCC"/>
      <rgbColor rgb="FF99CC00"/>
      <rgbColor rgb="FFFFD966"/>
      <rgbColor rgb="FFBF90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B3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
    <col collapsed="false" customWidth="true" hidden="false" outlineLevel="0" max="2" min="2" style="0" width="110"/>
  </cols>
  <sheetData>
    <row r="2" customFormat="false" ht="38.6" hidden="false" customHeight="false" outlineLevel="0" collapsed="false">
      <c r="B2" s="1" t="s">
        <v>0</v>
      </c>
    </row>
    <row r="3" customFormat="false" ht="22.05" hidden="false" customHeight="false" outlineLevel="0" collapsed="false">
      <c r="B3" s="2" t="s">
        <v>1</v>
      </c>
    </row>
    <row r="4" customFormat="false" ht="15" hidden="false" customHeight="false" outlineLevel="0" collapsed="false">
      <c r="B4" s="3" t="s">
        <v>2</v>
      </c>
    </row>
    <row r="5" customFormat="false" ht="15" hidden="false" customHeight="false" outlineLevel="0" collapsed="false">
      <c r="B5" s="4" t="s">
        <v>3</v>
      </c>
    </row>
    <row r="7" customFormat="false" ht="60" hidden="false" customHeight="true" outlineLevel="0" collapsed="false">
      <c r="B7" s="5" t="s">
        <v>4</v>
      </c>
    </row>
    <row r="9" customFormat="false" ht="17.35" hidden="false" customHeight="false" outlineLevel="0" collapsed="false">
      <c r="B9" s="6" t="s">
        <v>5</v>
      </c>
    </row>
    <row r="10" customFormat="false" ht="30" hidden="false" customHeight="true" outlineLevel="0" collapsed="false">
      <c r="B10" s="5" t="s">
        <v>6</v>
      </c>
    </row>
    <row r="11" customFormat="false" ht="30" hidden="false" customHeight="true" outlineLevel="0" collapsed="false">
      <c r="B11" s="5" t="s">
        <v>7</v>
      </c>
    </row>
    <row r="12" customFormat="false" ht="30" hidden="false" customHeight="true" outlineLevel="0" collapsed="false">
      <c r="B12" s="5" t="s">
        <v>8</v>
      </c>
    </row>
    <row r="13" customFormat="false" ht="30" hidden="false" customHeight="true" outlineLevel="0" collapsed="false">
      <c r="B13" s="5" t="s">
        <v>9</v>
      </c>
    </row>
    <row r="14" customFormat="false" ht="30" hidden="false" customHeight="true" outlineLevel="0" collapsed="false">
      <c r="B14" s="5" t="s">
        <v>10</v>
      </c>
    </row>
    <row r="15" customFormat="false" ht="30" hidden="false" customHeight="true" outlineLevel="0" collapsed="false">
      <c r="B15" s="5" t="s">
        <v>11</v>
      </c>
    </row>
    <row r="16" customFormat="false" ht="30" hidden="false" customHeight="true" outlineLevel="0" collapsed="false">
      <c r="B16" s="5" t="s">
        <v>12</v>
      </c>
    </row>
    <row r="18" customFormat="false" ht="17.35" hidden="false" customHeight="false" outlineLevel="0" collapsed="false">
      <c r="B18" s="6" t="s">
        <v>13</v>
      </c>
    </row>
    <row r="19" customFormat="false" ht="15" hidden="false" customHeight="false" outlineLevel="0" collapsed="false">
      <c r="B19" s="7" t="s">
        <v>14</v>
      </c>
    </row>
    <row r="20" customFormat="false" ht="15" hidden="false" customHeight="false" outlineLevel="0" collapsed="false">
      <c r="B20" s="7" t="s">
        <v>15</v>
      </c>
    </row>
    <row r="21" customFormat="false" ht="15" hidden="false" customHeight="false" outlineLevel="0" collapsed="false">
      <c r="B21" s="7" t="s">
        <v>16</v>
      </c>
    </row>
    <row r="22" customFormat="false" ht="15" hidden="false" customHeight="false" outlineLevel="0" collapsed="false">
      <c r="B22" s="7" t="s">
        <v>17</v>
      </c>
    </row>
    <row r="23" customFormat="false" ht="15" hidden="false" customHeight="false" outlineLevel="0" collapsed="false">
      <c r="B23" s="7" t="s">
        <v>18</v>
      </c>
    </row>
    <row r="24" customFormat="false" ht="15" hidden="false" customHeight="false" outlineLevel="0" collapsed="false">
      <c r="B24" s="7" t="s">
        <v>19</v>
      </c>
    </row>
    <row r="25" customFormat="false" ht="15" hidden="false" customHeight="false" outlineLevel="0" collapsed="false">
      <c r="B25" s="7" t="s">
        <v>20</v>
      </c>
    </row>
    <row r="27" customFormat="false" ht="17.35" hidden="false" customHeight="false" outlineLevel="0" collapsed="false">
      <c r="B27" s="6" t="s">
        <v>21</v>
      </c>
    </row>
    <row r="28" customFormat="false" ht="27.75" hidden="false" customHeight="true" outlineLevel="0" collapsed="false">
      <c r="B28" s="5" t="s">
        <v>22</v>
      </c>
    </row>
    <row r="29" customFormat="false" ht="27.75" hidden="false" customHeight="true" outlineLevel="0" collapsed="false">
      <c r="B29" s="5" t="s">
        <v>23</v>
      </c>
    </row>
    <row r="30" customFormat="false" ht="27.75" hidden="false" customHeight="true" outlineLevel="0" collapsed="false">
      <c r="B30" s="5" t="s">
        <v>24</v>
      </c>
    </row>
    <row r="32" customFormat="false" ht="15" hidden="false" customHeight="false" outlineLevel="0" collapsed="false">
      <c r="B32" s="8" t="s">
        <v>25</v>
      </c>
    </row>
    <row r="33" customFormat="false" ht="60" hidden="false" customHeight="true" outlineLevel="0" collapsed="false">
      <c r="B33" s="5" t="s">
        <v>26</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7" min="1" style="0" width="22"/>
  </cols>
  <sheetData>
    <row r="1" customFormat="false" ht="31.5" hidden="false" customHeight="true" outlineLevel="0" collapsed="false">
      <c r="A1" s="9" t="s">
        <v>27</v>
      </c>
      <c r="B1" s="9"/>
      <c r="C1" s="9"/>
      <c r="D1" s="9"/>
      <c r="E1" s="9"/>
      <c r="F1" s="9"/>
      <c r="G1" s="9"/>
    </row>
    <row r="2" customFormat="false" ht="18" hidden="false" customHeight="true" outlineLevel="0" collapsed="false">
      <c r="A2" s="10" t="s">
        <v>28</v>
      </c>
      <c r="B2" s="10"/>
      <c r="C2" s="10"/>
      <c r="D2" s="10"/>
      <c r="E2" s="10"/>
      <c r="F2" s="10"/>
      <c r="G2" s="10"/>
    </row>
    <row r="3" customFormat="false" ht="18" hidden="false" customHeight="true" outlineLevel="0" collapsed="false">
      <c r="A3" s="11" t="s">
        <v>29</v>
      </c>
      <c r="B3" s="11" t="s">
        <v>30</v>
      </c>
      <c r="C3" s="11" t="s">
        <v>31</v>
      </c>
      <c r="D3" s="11" t="s">
        <v>32</v>
      </c>
      <c r="E3" s="11" t="s">
        <v>33</v>
      </c>
      <c r="F3" s="11" t="s">
        <v>34</v>
      </c>
      <c r="G3" s="11" t="s">
        <v>35</v>
      </c>
    </row>
    <row r="4" customFormat="false" ht="24" hidden="false" customHeight="true" outlineLevel="0" collapsed="false">
      <c r="A4" s="12"/>
      <c r="B4" s="12"/>
      <c r="C4" s="12"/>
      <c r="D4" s="12"/>
      <c r="E4" s="13" t="s">
        <v>36</v>
      </c>
      <c r="F4" s="14" t="s">
        <v>37</v>
      </c>
      <c r="G4" s="15" t="s">
        <v>38</v>
      </c>
    </row>
    <row r="5" customFormat="false" ht="129.75" hidden="false" customHeight="true" outlineLevel="0" collapsed="false">
      <c r="A5" s="12"/>
      <c r="B5" s="12"/>
      <c r="C5" s="12"/>
      <c r="D5" s="12"/>
      <c r="E5" s="16" t="s">
        <v>39</v>
      </c>
      <c r="F5" s="17" t="s">
        <v>40</v>
      </c>
      <c r="G5" s="17" t="s">
        <v>41</v>
      </c>
    </row>
    <row r="6" customFormat="false" ht="24" hidden="false" customHeight="true" outlineLevel="0" collapsed="false">
      <c r="A6" s="13" t="s">
        <v>42</v>
      </c>
      <c r="B6" s="14" t="s">
        <v>43</v>
      </c>
      <c r="C6" s="13" t="s">
        <v>44</v>
      </c>
      <c r="D6" s="13" t="s">
        <v>45</v>
      </c>
      <c r="E6" s="14" t="s">
        <v>46</v>
      </c>
      <c r="F6" s="15" t="s">
        <v>47</v>
      </c>
      <c r="G6" s="18" t="s">
        <v>48</v>
      </c>
    </row>
    <row r="7" customFormat="false" ht="129.75" hidden="false" customHeight="true" outlineLevel="0" collapsed="false">
      <c r="A7" s="16" t="s">
        <v>49</v>
      </c>
      <c r="B7" s="16" t="s">
        <v>50</v>
      </c>
      <c r="C7" s="16" t="s">
        <v>51</v>
      </c>
      <c r="D7" s="16" t="s">
        <v>52</v>
      </c>
      <c r="E7" s="16" t="s">
        <v>53</v>
      </c>
      <c r="F7" s="17" t="s">
        <v>54</v>
      </c>
      <c r="G7" s="17" t="s">
        <v>55</v>
      </c>
    </row>
    <row r="8" customFormat="false" ht="24" hidden="false" customHeight="true" outlineLevel="0" collapsed="false">
      <c r="A8" s="13" t="s">
        <v>56</v>
      </c>
      <c r="B8" s="13" t="s">
        <v>57</v>
      </c>
      <c r="C8" s="13" t="s">
        <v>58</v>
      </c>
      <c r="D8" s="13" t="s">
        <v>59</v>
      </c>
      <c r="E8" s="13" t="s">
        <v>60</v>
      </c>
      <c r="F8" s="18" t="s">
        <v>61</v>
      </c>
      <c r="G8" s="15" t="s">
        <v>62</v>
      </c>
    </row>
    <row r="9" customFormat="false" ht="129.75" hidden="false" customHeight="true" outlineLevel="0" collapsed="false">
      <c r="A9" s="16" t="s">
        <v>63</v>
      </c>
      <c r="B9" s="16" t="s">
        <v>64</v>
      </c>
      <c r="C9" s="16" t="s">
        <v>65</v>
      </c>
      <c r="D9" s="16" t="s">
        <v>66</v>
      </c>
      <c r="E9" s="16" t="s">
        <v>67</v>
      </c>
      <c r="F9" s="17" t="s">
        <v>68</v>
      </c>
      <c r="G9" s="17" t="s">
        <v>69</v>
      </c>
    </row>
    <row r="10" customFormat="false" ht="24" hidden="false" customHeight="true" outlineLevel="0" collapsed="false">
      <c r="A10" s="13" t="s">
        <v>70</v>
      </c>
      <c r="B10" s="13" t="s">
        <v>71</v>
      </c>
      <c r="C10" s="13" t="s">
        <v>72</v>
      </c>
      <c r="D10" s="19" t="s">
        <v>73</v>
      </c>
      <c r="E10" s="13" t="s">
        <v>74</v>
      </c>
      <c r="F10" s="15" t="s">
        <v>75</v>
      </c>
      <c r="G10" s="15" t="s">
        <v>76</v>
      </c>
    </row>
    <row r="11" customFormat="false" ht="129.75" hidden="false" customHeight="true" outlineLevel="0" collapsed="false">
      <c r="A11" s="16" t="s">
        <v>77</v>
      </c>
      <c r="B11" s="16" t="s">
        <v>78</v>
      </c>
      <c r="C11" s="16" t="s">
        <v>79</v>
      </c>
      <c r="D11" s="16" t="s">
        <v>80</v>
      </c>
      <c r="E11" s="16" t="s">
        <v>81</v>
      </c>
      <c r="F11" s="17" t="s">
        <v>82</v>
      </c>
      <c r="G11" s="17" t="s">
        <v>83</v>
      </c>
    </row>
    <row r="12" customFormat="false" ht="24" hidden="false" customHeight="true" outlineLevel="0" collapsed="false">
      <c r="A12" s="18" t="s">
        <v>84</v>
      </c>
      <c r="B12" s="13" t="s">
        <v>85</v>
      </c>
      <c r="C12" s="13" t="s">
        <v>86</v>
      </c>
      <c r="D12" s="14" t="s">
        <v>87</v>
      </c>
      <c r="E12" s="13" t="s">
        <v>88</v>
      </c>
      <c r="F12" s="15" t="s">
        <v>89</v>
      </c>
      <c r="G12" s="15" t="s">
        <v>90</v>
      </c>
    </row>
    <row r="13" customFormat="false" ht="129.75" hidden="false" customHeight="true" outlineLevel="0" collapsed="false">
      <c r="A13" s="16" t="s">
        <v>91</v>
      </c>
      <c r="B13" s="16" t="s">
        <v>92</v>
      </c>
      <c r="C13" s="16" t="s">
        <v>93</v>
      </c>
      <c r="D13" s="16" t="s">
        <v>94</v>
      </c>
      <c r="E13" s="16" t="s">
        <v>95</v>
      </c>
      <c r="F13" s="17" t="s">
        <v>96</v>
      </c>
      <c r="G13" s="17" t="s">
        <v>97</v>
      </c>
    </row>
    <row r="15" customFormat="false" ht="15" hidden="false" customHeight="false" outlineLevel="0" collapsed="false">
      <c r="A15" s="20" t="s">
        <v>98</v>
      </c>
      <c r="B15" s="20"/>
      <c r="C15" s="20"/>
      <c r="D15" s="20"/>
      <c r="E15" s="20"/>
      <c r="F15" s="20"/>
      <c r="G15" s="20"/>
    </row>
  </sheetData>
  <mergeCells count="3">
    <mergeCell ref="A1:G1"/>
    <mergeCell ref="A2:G2"/>
    <mergeCell ref="A15:G15"/>
  </mergeCells>
  <printOptions headings="false" gridLines="false" gridLinesSet="true" horizontalCentered="true" verticalCentered="false"/>
  <pageMargins left="0.3" right="0.3" top="0.3" bottom="0.3"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7" min="1" style="0" width="22"/>
  </cols>
  <sheetData>
    <row r="1" customFormat="false" ht="31.5" hidden="false" customHeight="true" outlineLevel="0" collapsed="false">
      <c r="A1" s="21" t="s">
        <v>99</v>
      </c>
      <c r="B1" s="21"/>
      <c r="C1" s="21"/>
      <c r="D1" s="21"/>
      <c r="E1" s="21"/>
      <c r="F1" s="21"/>
      <c r="G1" s="21"/>
    </row>
    <row r="2" customFormat="false" ht="18" hidden="false" customHeight="true" outlineLevel="0" collapsed="false">
      <c r="A2" s="10" t="s">
        <v>28</v>
      </c>
      <c r="B2" s="10"/>
      <c r="C2" s="10"/>
      <c r="D2" s="10"/>
      <c r="E2" s="10"/>
      <c r="F2" s="10"/>
      <c r="G2" s="10"/>
    </row>
    <row r="3" customFormat="false" ht="18" hidden="false" customHeight="true" outlineLevel="0" collapsed="false">
      <c r="A3" s="11" t="s">
        <v>29</v>
      </c>
      <c r="B3" s="11" t="s">
        <v>30</v>
      </c>
      <c r="C3" s="11" t="s">
        <v>31</v>
      </c>
      <c r="D3" s="11" t="s">
        <v>32</v>
      </c>
      <c r="E3" s="11" t="s">
        <v>33</v>
      </c>
      <c r="F3" s="11" t="s">
        <v>34</v>
      </c>
      <c r="G3" s="11" t="s">
        <v>35</v>
      </c>
    </row>
    <row r="4" customFormat="false" ht="24" hidden="false" customHeight="true" outlineLevel="0" collapsed="false">
      <c r="A4" s="12"/>
      <c r="B4" s="12"/>
      <c r="C4" s="12"/>
      <c r="D4" s="12"/>
      <c r="E4" s="13" t="s">
        <v>36</v>
      </c>
      <c r="F4" s="14" t="s">
        <v>37</v>
      </c>
      <c r="G4" s="15" t="s">
        <v>38</v>
      </c>
    </row>
    <row r="5" customFormat="false" ht="129.75" hidden="false" customHeight="true" outlineLevel="0" collapsed="false">
      <c r="A5" s="12"/>
      <c r="B5" s="12"/>
      <c r="C5" s="12"/>
      <c r="D5" s="12"/>
      <c r="E5" s="16" t="s">
        <v>100</v>
      </c>
      <c r="F5" s="17" t="s">
        <v>101</v>
      </c>
      <c r="G5" s="17" t="s">
        <v>102</v>
      </c>
    </row>
    <row r="6" customFormat="false" ht="24" hidden="false" customHeight="true" outlineLevel="0" collapsed="false">
      <c r="A6" s="13" t="s">
        <v>42</v>
      </c>
      <c r="B6" s="14" t="s">
        <v>43</v>
      </c>
      <c r="C6" s="13" t="s">
        <v>44</v>
      </c>
      <c r="D6" s="13" t="s">
        <v>45</v>
      </c>
      <c r="E6" s="14" t="s">
        <v>46</v>
      </c>
      <c r="F6" s="15" t="s">
        <v>47</v>
      </c>
      <c r="G6" s="18" t="s">
        <v>48</v>
      </c>
    </row>
    <row r="7" customFormat="false" ht="129.75" hidden="false" customHeight="true" outlineLevel="0" collapsed="false">
      <c r="A7" s="16" t="s">
        <v>103</v>
      </c>
      <c r="B7" s="16" t="s">
        <v>104</v>
      </c>
      <c r="C7" s="16" t="s">
        <v>105</v>
      </c>
      <c r="D7" s="16" t="s">
        <v>106</v>
      </c>
      <c r="E7" s="16" t="s">
        <v>107</v>
      </c>
      <c r="F7" s="17" t="s">
        <v>108</v>
      </c>
      <c r="G7" s="17" t="s">
        <v>109</v>
      </c>
    </row>
    <row r="8" customFormat="false" ht="24" hidden="false" customHeight="true" outlineLevel="0" collapsed="false">
      <c r="A8" s="13" t="s">
        <v>56</v>
      </c>
      <c r="B8" s="13" t="s">
        <v>57</v>
      </c>
      <c r="C8" s="13" t="s">
        <v>58</v>
      </c>
      <c r="D8" s="13" t="s">
        <v>59</v>
      </c>
      <c r="E8" s="13" t="s">
        <v>60</v>
      </c>
      <c r="F8" s="18" t="s">
        <v>61</v>
      </c>
      <c r="G8" s="15" t="s">
        <v>62</v>
      </c>
    </row>
    <row r="9" customFormat="false" ht="129.75" hidden="false" customHeight="true" outlineLevel="0" collapsed="false">
      <c r="A9" s="16" t="s">
        <v>110</v>
      </c>
      <c r="B9" s="16" t="s">
        <v>111</v>
      </c>
      <c r="C9" s="16" t="s">
        <v>112</v>
      </c>
      <c r="D9" s="16" t="s">
        <v>113</v>
      </c>
      <c r="E9" s="16" t="s">
        <v>114</v>
      </c>
      <c r="F9" s="17" t="s">
        <v>115</v>
      </c>
      <c r="G9" s="17" t="s">
        <v>116</v>
      </c>
    </row>
    <row r="10" customFormat="false" ht="24" hidden="false" customHeight="true" outlineLevel="0" collapsed="false">
      <c r="A10" s="13" t="s">
        <v>70</v>
      </c>
      <c r="B10" s="13" t="s">
        <v>71</v>
      </c>
      <c r="C10" s="13" t="s">
        <v>72</v>
      </c>
      <c r="D10" s="19" t="s">
        <v>73</v>
      </c>
      <c r="E10" s="13" t="s">
        <v>74</v>
      </c>
      <c r="F10" s="15" t="s">
        <v>75</v>
      </c>
      <c r="G10" s="15" t="s">
        <v>76</v>
      </c>
    </row>
    <row r="11" customFormat="false" ht="129.75" hidden="false" customHeight="true" outlineLevel="0" collapsed="false">
      <c r="A11" s="16" t="s">
        <v>117</v>
      </c>
      <c r="B11" s="16" t="s">
        <v>118</v>
      </c>
      <c r="C11" s="16" t="s">
        <v>119</v>
      </c>
      <c r="D11" s="16" t="s">
        <v>80</v>
      </c>
      <c r="E11" s="16" t="s">
        <v>120</v>
      </c>
      <c r="F11" s="17" t="s">
        <v>121</v>
      </c>
      <c r="G11" s="17" t="s">
        <v>122</v>
      </c>
    </row>
    <row r="12" customFormat="false" ht="24" hidden="false" customHeight="true" outlineLevel="0" collapsed="false">
      <c r="A12" s="18" t="s">
        <v>84</v>
      </c>
      <c r="B12" s="13" t="s">
        <v>85</v>
      </c>
      <c r="C12" s="13" t="s">
        <v>86</v>
      </c>
      <c r="D12" s="14" t="s">
        <v>87</v>
      </c>
      <c r="E12" s="13" t="s">
        <v>88</v>
      </c>
      <c r="F12" s="15" t="s">
        <v>89</v>
      </c>
      <c r="G12" s="15" t="s">
        <v>90</v>
      </c>
    </row>
    <row r="13" customFormat="false" ht="129.75" hidden="false" customHeight="true" outlineLevel="0" collapsed="false">
      <c r="A13" s="16" t="s">
        <v>123</v>
      </c>
      <c r="B13" s="16" t="s">
        <v>124</v>
      </c>
      <c r="C13" s="16" t="s">
        <v>125</v>
      </c>
      <c r="D13" s="16" t="s">
        <v>126</v>
      </c>
      <c r="E13" s="16" t="s">
        <v>127</v>
      </c>
      <c r="F13" s="17" t="s">
        <v>128</v>
      </c>
      <c r="G13" s="17" t="s">
        <v>129</v>
      </c>
    </row>
    <row r="15" customFormat="false" ht="15" hidden="false" customHeight="false" outlineLevel="0" collapsed="false">
      <c r="A15" s="20" t="s">
        <v>98</v>
      </c>
      <c r="B15" s="20"/>
      <c r="C15" s="20"/>
      <c r="D15" s="20"/>
      <c r="E15" s="20"/>
      <c r="F15" s="20"/>
      <c r="G15" s="20"/>
    </row>
  </sheetData>
  <mergeCells count="3">
    <mergeCell ref="A1:G1"/>
    <mergeCell ref="A2:G2"/>
    <mergeCell ref="A15:G15"/>
  </mergeCells>
  <printOptions headings="false" gridLines="false" gridLinesSet="true" horizontalCentered="true" verticalCentered="false"/>
  <pageMargins left="0.3" right="0.3" top="0.3" bottom="0.3"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7" min="1" style="0" width="22"/>
  </cols>
  <sheetData>
    <row r="1" customFormat="false" ht="31.5" hidden="false" customHeight="true" outlineLevel="0" collapsed="false">
      <c r="A1" s="22" t="s">
        <v>130</v>
      </c>
      <c r="B1" s="22"/>
      <c r="C1" s="22"/>
      <c r="D1" s="22"/>
      <c r="E1" s="22"/>
      <c r="F1" s="22"/>
      <c r="G1" s="22"/>
    </row>
    <row r="2" customFormat="false" ht="18" hidden="false" customHeight="true" outlineLevel="0" collapsed="false">
      <c r="A2" s="10" t="s">
        <v>28</v>
      </c>
      <c r="B2" s="10"/>
      <c r="C2" s="10"/>
      <c r="D2" s="10"/>
      <c r="E2" s="10"/>
      <c r="F2" s="10"/>
      <c r="G2" s="10"/>
    </row>
    <row r="3" customFormat="false" ht="18" hidden="false" customHeight="true" outlineLevel="0" collapsed="false">
      <c r="A3" s="11" t="s">
        <v>29</v>
      </c>
      <c r="B3" s="11" t="s">
        <v>30</v>
      </c>
      <c r="C3" s="11" t="s">
        <v>31</v>
      </c>
      <c r="D3" s="11" t="s">
        <v>32</v>
      </c>
      <c r="E3" s="11" t="s">
        <v>33</v>
      </c>
      <c r="F3" s="11" t="s">
        <v>34</v>
      </c>
      <c r="G3" s="11" t="s">
        <v>35</v>
      </c>
    </row>
    <row r="4" customFormat="false" ht="24" hidden="false" customHeight="true" outlineLevel="0" collapsed="false">
      <c r="A4" s="12"/>
      <c r="B4" s="12"/>
      <c r="C4" s="12"/>
      <c r="D4" s="12"/>
      <c r="E4" s="13" t="s">
        <v>36</v>
      </c>
      <c r="F4" s="14" t="s">
        <v>37</v>
      </c>
      <c r="G4" s="15" t="s">
        <v>38</v>
      </c>
    </row>
    <row r="5" customFormat="false" ht="129.75" hidden="false" customHeight="true" outlineLevel="0" collapsed="false">
      <c r="A5" s="12"/>
      <c r="B5" s="12"/>
      <c r="C5" s="12"/>
      <c r="D5" s="12"/>
      <c r="E5" s="16" t="s">
        <v>131</v>
      </c>
      <c r="F5" s="17" t="s">
        <v>132</v>
      </c>
      <c r="G5" s="17" t="s">
        <v>133</v>
      </c>
    </row>
    <row r="6" customFormat="false" ht="24" hidden="false" customHeight="true" outlineLevel="0" collapsed="false">
      <c r="A6" s="13" t="s">
        <v>42</v>
      </c>
      <c r="B6" s="14" t="s">
        <v>43</v>
      </c>
      <c r="C6" s="13" t="s">
        <v>44</v>
      </c>
      <c r="D6" s="13" t="s">
        <v>45</v>
      </c>
      <c r="E6" s="14" t="s">
        <v>46</v>
      </c>
      <c r="F6" s="15" t="s">
        <v>47</v>
      </c>
      <c r="G6" s="18" t="s">
        <v>48</v>
      </c>
    </row>
    <row r="7" customFormat="false" ht="129.75" hidden="false" customHeight="true" outlineLevel="0" collapsed="false">
      <c r="A7" s="16" t="s">
        <v>134</v>
      </c>
      <c r="B7" s="16" t="s">
        <v>135</v>
      </c>
      <c r="C7" s="16" t="s">
        <v>136</v>
      </c>
      <c r="D7" s="16" t="s">
        <v>137</v>
      </c>
      <c r="E7" s="16" t="s">
        <v>138</v>
      </c>
      <c r="F7" s="17" t="s">
        <v>139</v>
      </c>
      <c r="G7" s="17" t="s">
        <v>140</v>
      </c>
    </row>
    <row r="8" customFormat="false" ht="24" hidden="false" customHeight="true" outlineLevel="0" collapsed="false">
      <c r="A8" s="13" t="s">
        <v>56</v>
      </c>
      <c r="B8" s="13" t="s">
        <v>57</v>
      </c>
      <c r="C8" s="13" t="s">
        <v>58</v>
      </c>
      <c r="D8" s="13" t="s">
        <v>59</v>
      </c>
      <c r="E8" s="13" t="s">
        <v>60</v>
      </c>
      <c r="F8" s="18" t="s">
        <v>61</v>
      </c>
      <c r="G8" s="15" t="s">
        <v>62</v>
      </c>
    </row>
    <row r="9" customFormat="false" ht="129.75" hidden="false" customHeight="true" outlineLevel="0" collapsed="false">
      <c r="A9" s="16" t="s">
        <v>141</v>
      </c>
      <c r="B9" s="16" t="s">
        <v>142</v>
      </c>
      <c r="C9" s="16" t="s">
        <v>143</v>
      </c>
      <c r="D9" s="16" t="s">
        <v>144</v>
      </c>
      <c r="E9" s="16" t="s">
        <v>145</v>
      </c>
      <c r="F9" s="17" t="s">
        <v>146</v>
      </c>
      <c r="G9" s="17" t="s">
        <v>147</v>
      </c>
    </row>
    <row r="10" customFormat="false" ht="24" hidden="false" customHeight="true" outlineLevel="0" collapsed="false">
      <c r="A10" s="13" t="s">
        <v>70</v>
      </c>
      <c r="B10" s="13" t="s">
        <v>71</v>
      </c>
      <c r="C10" s="13" t="s">
        <v>72</v>
      </c>
      <c r="D10" s="19" t="s">
        <v>73</v>
      </c>
      <c r="E10" s="13" t="s">
        <v>74</v>
      </c>
      <c r="F10" s="15" t="s">
        <v>75</v>
      </c>
      <c r="G10" s="15" t="s">
        <v>76</v>
      </c>
    </row>
    <row r="11" customFormat="false" ht="129.75" hidden="false" customHeight="true" outlineLevel="0" collapsed="false">
      <c r="A11" s="16" t="s">
        <v>148</v>
      </c>
      <c r="B11" s="16" t="s">
        <v>149</v>
      </c>
      <c r="C11" s="16" t="s">
        <v>150</v>
      </c>
      <c r="D11" s="16" t="s">
        <v>80</v>
      </c>
      <c r="E11" s="16" t="s">
        <v>151</v>
      </c>
      <c r="F11" s="17" t="s">
        <v>152</v>
      </c>
      <c r="G11" s="17" t="s">
        <v>153</v>
      </c>
    </row>
    <row r="12" customFormat="false" ht="24" hidden="false" customHeight="true" outlineLevel="0" collapsed="false">
      <c r="A12" s="18" t="s">
        <v>84</v>
      </c>
      <c r="B12" s="13" t="s">
        <v>85</v>
      </c>
      <c r="C12" s="13" t="s">
        <v>86</v>
      </c>
      <c r="D12" s="14" t="s">
        <v>87</v>
      </c>
      <c r="E12" s="13" t="s">
        <v>88</v>
      </c>
      <c r="F12" s="15" t="s">
        <v>89</v>
      </c>
      <c r="G12" s="15" t="s">
        <v>90</v>
      </c>
    </row>
    <row r="13" customFormat="false" ht="129.75" hidden="false" customHeight="true" outlineLevel="0" collapsed="false">
      <c r="A13" s="16" t="s">
        <v>154</v>
      </c>
      <c r="B13" s="16" t="s">
        <v>155</v>
      </c>
      <c r="C13" s="16" t="s">
        <v>156</v>
      </c>
      <c r="D13" s="16" t="s">
        <v>157</v>
      </c>
      <c r="E13" s="16" t="s">
        <v>158</v>
      </c>
      <c r="F13" s="17" t="s">
        <v>159</v>
      </c>
      <c r="G13" s="17" t="s">
        <v>160</v>
      </c>
    </row>
    <row r="15" customFormat="false" ht="15" hidden="false" customHeight="false" outlineLevel="0" collapsed="false">
      <c r="A15" s="20" t="s">
        <v>98</v>
      </c>
      <c r="B15" s="20"/>
      <c r="C15" s="20"/>
      <c r="D15" s="20"/>
      <c r="E15" s="20"/>
      <c r="F15" s="20"/>
      <c r="G15" s="20"/>
    </row>
  </sheetData>
  <mergeCells count="3">
    <mergeCell ref="A1:G1"/>
    <mergeCell ref="A2:G2"/>
    <mergeCell ref="A15:G15"/>
  </mergeCells>
  <printOptions headings="false" gridLines="false" gridLinesSet="true" horizontalCentered="true" verticalCentered="false"/>
  <pageMargins left="0.3" right="0.3" top="0.3" bottom="0.3"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2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8"/>
    <col collapsed="false" customWidth="true" hidden="false" outlineLevel="0" max="2" min="2" style="0" width="12"/>
    <col collapsed="false" customWidth="true" hidden="false" outlineLevel="0" max="3" min="3" style="0" width="26"/>
    <col collapsed="false" customWidth="true" hidden="false" outlineLevel="0" max="4" min="4" style="0" width="12"/>
    <col collapsed="false" customWidth="true" hidden="false" outlineLevel="0" max="5" min="5" style="0" width="22"/>
    <col collapsed="false" customWidth="true" hidden="false" outlineLevel="0" max="6" min="6" style="0" width="32"/>
    <col collapsed="false" customWidth="true" hidden="false" outlineLevel="0" max="7" min="7" style="0" width="80"/>
  </cols>
  <sheetData>
    <row r="1" customFormat="false" ht="25.5" hidden="false" customHeight="true" outlineLevel="0" collapsed="false">
      <c r="A1" s="23" t="s">
        <v>161</v>
      </c>
      <c r="B1" s="23" t="s">
        <v>162</v>
      </c>
      <c r="C1" s="23" t="s">
        <v>163</v>
      </c>
      <c r="D1" s="23" t="s">
        <v>164</v>
      </c>
      <c r="E1" s="23" t="s">
        <v>165</v>
      </c>
      <c r="F1" s="23" t="s">
        <v>166</v>
      </c>
      <c r="G1" s="23" t="s">
        <v>167</v>
      </c>
    </row>
    <row r="2" customFormat="false" ht="39.75" hidden="false" customHeight="true" outlineLevel="0" collapsed="false">
      <c r="A2" s="24" t="s">
        <v>168</v>
      </c>
      <c r="B2" s="24" t="s">
        <v>169</v>
      </c>
      <c r="C2" s="24" t="s">
        <v>170</v>
      </c>
      <c r="D2" s="24" t="s">
        <v>171</v>
      </c>
      <c r="E2" s="25" t="s">
        <v>172</v>
      </c>
      <c r="F2" s="26" t="s">
        <v>173</v>
      </c>
      <c r="G2" s="26" t="s">
        <v>174</v>
      </c>
    </row>
    <row r="3" customFormat="false" ht="69.75" hidden="false" customHeight="true" outlineLevel="0" collapsed="false">
      <c r="A3" s="24" t="s">
        <v>168</v>
      </c>
      <c r="B3" s="24" t="s">
        <v>169</v>
      </c>
      <c r="C3" s="24" t="s">
        <v>170</v>
      </c>
      <c r="D3" s="24" t="s">
        <v>175</v>
      </c>
      <c r="E3" s="27" t="s">
        <v>176</v>
      </c>
      <c r="F3" s="26" t="s">
        <v>177</v>
      </c>
      <c r="G3" s="26" t="s">
        <v>178</v>
      </c>
    </row>
    <row r="4" customFormat="false" ht="42" hidden="false" customHeight="true" outlineLevel="0" collapsed="false">
      <c r="A4" s="24" t="s">
        <v>168</v>
      </c>
      <c r="B4" s="24" t="s">
        <v>169</v>
      </c>
      <c r="C4" s="24" t="s">
        <v>170</v>
      </c>
      <c r="D4" s="24" t="s">
        <v>179</v>
      </c>
      <c r="E4" s="28" t="s">
        <v>180</v>
      </c>
      <c r="F4" s="26" t="s">
        <v>181</v>
      </c>
      <c r="G4" s="26" t="s">
        <v>182</v>
      </c>
    </row>
    <row r="5" customFormat="false" ht="39.75" hidden="false" customHeight="true" outlineLevel="0" collapsed="false">
      <c r="A5" s="24" t="s">
        <v>168</v>
      </c>
      <c r="B5" s="24" t="s">
        <v>169</v>
      </c>
      <c r="C5" s="24" t="s">
        <v>170</v>
      </c>
      <c r="D5" s="24" t="s">
        <v>183</v>
      </c>
      <c r="E5" s="29" t="s">
        <v>184</v>
      </c>
      <c r="F5" s="26" t="s">
        <v>185</v>
      </c>
      <c r="G5" s="26" t="s">
        <v>186</v>
      </c>
    </row>
    <row r="6" customFormat="false" ht="139.5" hidden="false" customHeight="true" outlineLevel="0" collapsed="false">
      <c r="A6" s="24" t="s">
        <v>168</v>
      </c>
      <c r="B6" s="24" t="s">
        <v>169</v>
      </c>
      <c r="C6" s="24" t="s">
        <v>170</v>
      </c>
      <c r="D6" s="24" t="s">
        <v>187</v>
      </c>
      <c r="E6" s="30" t="s">
        <v>188</v>
      </c>
      <c r="F6" s="26" t="s">
        <v>189</v>
      </c>
      <c r="G6" s="26" t="s">
        <v>190</v>
      </c>
    </row>
    <row r="7" customFormat="false" ht="39.75" hidden="false" customHeight="true" outlineLevel="0" collapsed="false">
      <c r="A7" s="24" t="s">
        <v>168</v>
      </c>
      <c r="B7" s="24" t="s">
        <v>169</v>
      </c>
      <c r="C7" s="24" t="s">
        <v>170</v>
      </c>
      <c r="D7" s="24" t="s">
        <v>191</v>
      </c>
      <c r="E7" s="31" t="s">
        <v>192</v>
      </c>
      <c r="F7" s="26" t="s">
        <v>193</v>
      </c>
      <c r="G7" s="26" t="s">
        <v>194</v>
      </c>
    </row>
    <row r="8" customFormat="false" ht="39.75" hidden="false" customHeight="true" outlineLevel="0" collapsed="false">
      <c r="A8" s="24" t="s">
        <v>168</v>
      </c>
      <c r="B8" s="24" t="s">
        <v>169</v>
      </c>
      <c r="C8" s="24" t="s">
        <v>170</v>
      </c>
      <c r="D8" s="24" t="s">
        <v>195</v>
      </c>
      <c r="E8" s="29" t="s">
        <v>196</v>
      </c>
      <c r="F8" s="26" t="s">
        <v>197</v>
      </c>
      <c r="G8" s="26" t="s">
        <v>198</v>
      </c>
    </row>
    <row r="9" customFormat="false" ht="39.75" hidden="false" customHeight="true" outlineLevel="0" collapsed="false">
      <c r="A9" s="24" t="s">
        <v>199</v>
      </c>
      <c r="B9" s="24" t="s">
        <v>200</v>
      </c>
      <c r="C9" s="24" t="s">
        <v>201</v>
      </c>
      <c r="D9" s="24" t="s">
        <v>171</v>
      </c>
      <c r="E9" s="25" t="s">
        <v>172</v>
      </c>
      <c r="F9" s="26" t="s">
        <v>202</v>
      </c>
      <c r="G9" s="26" t="s">
        <v>203</v>
      </c>
    </row>
    <row r="10" customFormat="false" ht="42" hidden="false" customHeight="true" outlineLevel="0" collapsed="false">
      <c r="A10" s="24" t="s">
        <v>199</v>
      </c>
      <c r="B10" s="24" t="s">
        <v>200</v>
      </c>
      <c r="C10" s="24" t="s">
        <v>201</v>
      </c>
      <c r="D10" s="24" t="s">
        <v>175</v>
      </c>
      <c r="E10" s="27" t="s">
        <v>176</v>
      </c>
      <c r="F10" s="26" t="s">
        <v>204</v>
      </c>
      <c r="G10" s="26" t="s">
        <v>205</v>
      </c>
    </row>
    <row r="11" customFormat="false" ht="39.75" hidden="false" customHeight="true" outlineLevel="0" collapsed="false">
      <c r="A11" s="24" t="s">
        <v>199</v>
      </c>
      <c r="B11" s="24" t="s">
        <v>200</v>
      </c>
      <c r="C11" s="24" t="s">
        <v>201</v>
      </c>
      <c r="D11" s="24" t="s">
        <v>179</v>
      </c>
      <c r="E11" s="28" t="s">
        <v>180</v>
      </c>
      <c r="F11" s="26" t="s">
        <v>206</v>
      </c>
      <c r="G11" s="26" t="s">
        <v>207</v>
      </c>
    </row>
    <row r="12" customFormat="false" ht="39.75" hidden="false" customHeight="true" outlineLevel="0" collapsed="false">
      <c r="A12" s="24" t="s">
        <v>199</v>
      </c>
      <c r="B12" s="24" t="s">
        <v>200</v>
      </c>
      <c r="C12" s="24" t="s">
        <v>201</v>
      </c>
      <c r="D12" s="24" t="s">
        <v>183</v>
      </c>
      <c r="E12" s="29" t="s">
        <v>184</v>
      </c>
      <c r="F12" s="26" t="s">
        <v>208</v>
      </c>
      <c r="G12" s="26" t="s">
        <v>209</v>
      </c>
    </row>
    <row r="13" customFormat="false" ht="139.5" hidden="false" customHeight="true" outlineLevel="0" collapsed="false">
      <c r="A13" s="24" t="s">
        <v>199</v>
      </c>
      <c r="B13" s="24" t="s">
        <v>200</v>
      </c>
      <c r="C13" s="24" t="s">
        <v>201</v>
      </c>
      <c r="D13" s="24" t="s">
        <v>187</v>
      </c>
      <c r="E13" s="30" t="s">
        <v>188</v>
      </c>
      <c r="F13" s="26" t="s">
        <v>189</v>
      </c>
      <c r="G13" s="26" t="s">
        <v>210</v>
      </c>
    </row>
    <row r="14" customFormat="false" ht="39.75" hidden="false" customHeight="true" outlineLevel="0" collapsed="false">
      <c r="A14" s="24" t="s">
        <v>199</v>
      </c>
      <c r="B14" s="24" t="s">
        <v>200</v>
      </c>
      <c r="C14" s="24" t="s">
        <v>201</v>
      </c>
      <c r="D14" s="24" t="s">
        <v>191</v>
      </c>
      <c r="E14" s="31" t="s">
        <v>192</v>
      </c>
      <c r="F14" s="26" t="s">
        <v>211</v>
      </c>
      <c r="G14" s="26" t="s">
        <v>212</v>
      </c>
    </row>
    <row r="15" customFormat="false" ht="39.75" hidden="false" customHeight="true" outlineLevel="0" collapsed="false">
      <c r="A15" s="24" t="s">
        <v>199</v>
      </c>
      <c r="B15" s="24" t="s">
        <v>200</v>
      </c>
      <c r="C15" s="24" t="s">
        <v>201</v>
      </c>
      <c r="D15" s="24" t="s">
        <v>195</v>
      </c>
      <c r="E15" s="29" t="s">
        <v>196</v>
      </c>
      <c r="F15" s="26" t="s">
        <v>213</v>
      </c>
      <c r="G15" s="26" t="s">
        <v>214</v>
      </c>
    </row>
    <row r="16" customFormat="false" ht="39.75" hidden="false" customHeight="true" outlineLevel="0" collapsed="false">
      <c r="A16" s="24" t="s">
        <v>215</v>
      </c>
      <c r="B16" s="24" t="s">
        <v>216</v>
      </c>
      <c r="C16" s="24" t="s">
        <v>217</v>
      </c>
      <c r="D16" s="24" t="s">
        <v>171</v>
      </c>
      <c r="E16" s="25" t="s">
        <v>172</v>
      </c>
      <c r="F16" s="26" t="s">
        <v>218</v>
      </c>
      <c r="G16" s="26" t="s">
        <v>219</v>
      </c>
    </row>
    <row r="17" customFormat="false" ht="42" hidden="false" customHeight="true" outlineLevel="0" collapsed="false">
      <c r="A17" s="24" t="s">
        <v>215</v>
      </c>
      <c r="B17" s="24" t="s">
        <v>216</v>
      </c>
      <c r="C17" s="24" t="s">
        <v>217</v>
      </c>
      <c r="D17" s="24" t="s">
        <v>175</v>
      </c>
      <c r="E17" s="27" t="s">
        <v>176</v>
      </c>
      <c r="F17" s="26" t="s">
        <v>220</v>
      </c>
      <c r="G17" s="26" t="s">
        <v>221</v>
      </c>
    </row>
    <row r="18" customFormat="false" ht="39.75" hidden="false" customHeight="true" outlineLevel="0" collapsed="false">
      <c r="A18" s="24" t="s">
        <v>215</v>
      </c>
      <c r="B18" s="24" t="s">
        <v>216</v>
      </c>
      <c r="C18" s="24" t="s">
        <v>217</v>
      </c>
      <c r="D18" s="24" t="s">
        <v>179</v>
      </c>
      <c r="E18" s="28" t="s">
        <v>180</v>
      </c>
      <c r="F18" s="26" t="s">
        <v>222</v>
      </c>
      <c r="G18" s="26" t="s">
        <v>223</v>
      </c>
    </row>
    <row r="19" customFormat="false" ht="39.75" hidden="false" customHeight="true" outlineLevel="0" collapsed="false">
      <c r="A19" s="24" t="s">
        <v>215</v>
      </c>
      <c r="B19" s="24" t="s">
        <v>216</v>
      </c>
      <c r="C19" s="24" t="s">
        <v>217</v>
      </c>
      <c r="D19" s="24" t="s">
        <v>183</v>
      </c>
      <c r="E19" s="29" t="s">
        <v>184</v>
      </c>
      <c r="F19" s="26" t="s">
        <v>224</v>
      </c>
      <c r="G19" s="26" t="s">
        <v>225</v>
      </c>
    </row>
    <row r="20" customFormat="false" ht="153.75" hidden="false" customHeight="true" outlineLevel="0" collapsed="false">
      <c r="A20" s="24" t="s">
        <v>215</v>
      </c>
      <c r="B20" s="24" t="s">
        <v>216</v>
      </c>
      <c r="C20" s="24" t="s">
        <v>217</v>
      </c>
      <c r="D20" s="24" t="s">
        <v>187</v>
      </c>
      <c r="E20" s="30" t="s">
        <v>188</v>
      </c>
      <c r="F20" s="26" t="s">
        <v>189</v>
      </c>
      <c r="G20" s="26" t="s">
        <v>226</v>
      </c>
    </row>
    <row r="21" customFormat="false" ht="39.75" hidden="false" customHeight="true" outlineLevel="0" collapsed="false">
      <c r="A21" s="24" t="s">
        <v>215</v>
      </c>
      <c r="B21" s="24" t="s">
        <v>216</v>
      </c>
      <c r="C21" s="24" t="s">
        <v>217</v>
      </c>
      <c r="D21" s="24" t="s">
        <v>191</v>
      </c>
      <c r="E21" s="31" t="s">
        <v>192</v>
      </c>
      <c r="F21" s="26" t="s">
        <v>227</v>
      </c>
      <c r="G21" s="26" t="s">
        <v>228</v>
      </c>
    </row>
    <row r="22" customFormat="false" ht="39.75" hidden="false" customHeight="true" outlineLevel="0" collapsed="false">
      <c r="A22" s="24" t="s">
        <v>215</v>
      </c>
      <c r="B22" s="24" t="s">
        <v>216</v>
      </c>
      <c r="C22" s="24" t="s">
        <v>217</v>
      </c>
      <c r="D22" s="24" t="s">
        <v>195</v>
      </c>
      <c r="E22" s="29" t="s">
        <v>196</v>
      </c>
      <c r="F22" s="26" t="s">
        <v>229</v>
      </c>
      <c r="G22" s="26" t="s">
        <v>230</v>
      </c>
    </row>
    <row r="23" customFormat="false" ht="39.75" hidden="false" customHeight="true" outlineLevel="0" collapsed="false">
      <c r="A23" s="24" t="s">
        <v>231</v>
      </c>
      <c r="B23" s="24" t="s">
        <v>232</v>
      </c>
      <c r="C23" s="24" t="s">
        <v>233</v>
      </c>
      <c r="D23" s="24" t="s">
        <v>171</v>
      </c>
      <c r="E23" s="25" t="s">
        <v>172</v>
      </c>
      <c r="F23" s="26" t="s">
        <v>234</v>
      </c>
      <c r="G23" s="26" t="s">
        <v>235</v>
      </c>
    </row>
    <row r="24" customFormat="false" ht="42" hidden="false" customHeight="true" outlineLevel="0" collapsed="false">
      <c r="A24" s="24" t="s">
        <v>231</v>
      </c>
      <c r="B24" s="24" t="s">
        <v>232</v>
      </c>
      <c r="C24" s="24" t="s">
        <v>233</v>
      </c>
      <c r="D24" s="24" t="s">
        <v>175</v>
      </c>
      <c r="E24" s="27" t="s">
        <v>176</v>
      </c>
      <c r="F24" s="26" t="s">
        <v>236</v>
      </c>
      <c r="G24" s="26" t="s">
        <v>237</v>
      </c>
    </row>
    <row r="25" customFormat="false" ht="39.75" hidden="false" customHeight="true" outlineLevel="0" collapsed="false">
      <c r="A25" s="24" t="s">
        <v>231</v>
      </c>
      <c r="B25" s="24" t="s">
        <v>232</v>
      </c>
      <c r="C25" s="24" t="s">
        <v>233</v>
      </c>
      <c r="D25" s="24" t="s">
        <v>179</v>
      </c>
      <c r="E25" s="28" t="s">
        <v>180</v>
      </c>
      <c r="F25" s="26" t="s">
        <v>238</v>
      </c>
      <c r="G25" s="26" t="s">
        <v>239</v>
      </c>
    </row>
    <row r="26" customFormat="false" ht="39.75" hidden="false" customHeight="true" outlineLevel="0" collapsed="false">
      <c r="A26" s="24" t="s">
        <v>231</v>
      </c>
      <c r="B26" s="24" t="s">
        <v>232</v>
      </c>
      <c r="C26" s="24" t="s">
        <v>233</v>
      </c>
      <c r="D26" s="24" t="s">
        <v>183</v>
      </c>
      <c r="E26" s="29" t="s">
        <v>184</v>
      </c>
      <c r="F26" s="26" t="s">
        <v>240</v>
      </c>
      <c r="G26" s="26" t="s">
        <v>241</v>
      </c>
    </row>
    <row r="27" customFormat="false" ht="139.5" hidden="false" customHeight="true" outlineLevel="0" collapsed="false">
      <c r="A27" s="24" t="s">
        <v>231</v>
      </c>
      <c r="B27" s="24" t="s">
        <v>232</v>
      </c>
      <c r="C27" s="24" t="s">
        <v>233</v>
      </c>
      <c r="D27" s="24" t="s">
        <v>187</v>
      </c>
      <c r="E27" s="30" t="s">
        <v>188</v>
      </c>
      <c r="F27" s="26" t="s">
        <v>189</v>
      </c>
      <c r="G27" s="26" t="s">
        <v>242</v>
      </c>
    </row>
    <row r="28" customFormat="false" ht="39.75" hidden="false" customHeight="true" outlineLevel="0" collapsed="false">
      <c r="A28" s="24" t="s">
        <v>231</v>
      </c>
      <c r="B28" s="24" t="s">
        <v>232</v>
      </c>
      <c r="C28" s="24" t="s">
        <v>233</v>
      </c>
      <c r="D28" s="24" t="s">
        <v>191</v>
      </c>
      <c r="E28" s="31" t="s">
        <v>192</v>
      </c>
      <c r="F28" s="26" t="s">
        <v>243</v>
      </c>
      <c r="G28" s="26" t="s">
        <v>244</v>
      </c>
    </row>
    <row r="29" customFormat="false" ht="39.75" hidden="false" customHeight="true" outlineLevel="0" collapsed="false">
      <c r="A29" s="24" t="s">
        <v>231</v>
      </c>
      <c r="B29" s="24" t="s">
        <v>232</v>
      </c>
      <c r="C29" s="24" t="s">
        <v>233</v>
      </c>
      <c r="D29" s="24" t="s">
        <v>195</v>
      </c>
      <c r="E29" s="29" t="s">
        <v>196</v>
      </c>
      <c r="F29" s="26" t="s">
        <v>245</v>
      </c>
      <c r="G29" s="26" t="s">
        <v>246</v>
      </c>
    </row>
    <row r="30" customFormat="false" ht="39.75" hidden="false" customHeight="true" outlineLevel="0" collapsed="false">
      <c r="A30" s="24" t="s">
        <v>247</v>
      </c>
      <c r="B30" s="24" t="s">
        <v>248</v>
      </c>
      <c r="C30" s="24" t="s">
        <v>249</v>
      </c>
      <c r="D30" s="24" t="s">
        <v>171</v>
      </c>
      <c r="E30" s="25" t="s">
        <v>172</v>
      </c>
      <c r="F30" s="26" t="s">
        <v>250</v>
      </c>
      <c r="G30" s="26" t="s">
        <v>251</v>
      </c>
    </row>
    <row r="31" customFormat="false" ht="42" hidden="false" customHeight="true" outlineLevel="0" collapsed="false">
      <c r="A31" s="24" t="s">
        <v>247</v>
      </c>
      <c r="B31" s="24" t="s">
        <v>248</v>
      </c>
      <c r="C31" s="24" t="s">
        <v>249</v>
      </c>
      <c r="D31" s="24" t="s">
        <v>175</v>
      </c>
      <c r="E31" s="27" t="s">
        <v>176</v>
      </c>
      <c r="F31" s="26" t="s">
        <v>252</v>
      </c>
      <c r="G31" s="26" t="s">
        <v>253</v>
      </c>
    </row>
    <row r="32" customFormat="false" ht="39.75" hidden="false" customHeight="true" outlineLevel="0" collapsed="false">
      <c r="A32" s="24" t="s">
        <v>247</v>
      </c>
      <c r="B32" s="24" t="s">
        <v>248</v>
      </c>
      <c r="C32" s="24" t="s">
        <v>249</v>
      </c>
      <c r="D32" s="24" t="s">
        <v>179</v>
      </c>
      <c r="E32" s="28" t="s">
        <v>180</v>
      </c>
      <c r="F32" s="26" t="s">
        <v>254</v>
      </c>
      <c r="G32" s="26" t="s">
        <v>255</v>
      </c>
    </row>
    <row r="33" customFormat="false" ht="39.75" hidden="false" customHeight="true" outlineLevel="0" collapsed="false">
      <c r="A33" s="24" t="s">
        <v>247</v>
      </c>
      <c r="B33" s="24" t="s">
        <v>248</v>
      </c>
      <c r="C33" s="24" t="s">
        <v>249</v>
      </c>
      <c r="D33" s="24" t="s">
        <v>183</v>
      </c>
      <c r="E33" s="29" t="s">
        <v>184</v>
      </c>
      <c r="F33" s="26" t="s">
        <v>256</v>
      </c>
      <c r="G33" s="26" t="s">
        <v>257</v>
      </c>
    </row>
    <row r="34" customFormat="false" ht="111.75" hidden="false" customHeight="true" outlineLevel="0" collapsed="false">
      <c r="A34" s="24" t="s">
        <v>247</v>
      </c>
      <c r="B34" s="24" t="s">
        <v>248</v>
      </c>
      <c r="C34" s="24" t="s">
        <v>249</v>
      </c>
      <c r="D34" s="24" t="s">
        <v>187</v>
      </c>
      <c r="E34" s="30" t="s">
        <v>188</v>
      </c>
      <c r="F34" s="26" t="s">
        <v>189</v>
      </c>
      <c r="G34" s="26" t="s">
        <v>258</v>
      </c>
    </row>
    <row r="35" customFormat="false" ht="39.75" hidden="false" customHeight="true" outlineLevel="0" collapsed="false">
      <c r="A35" s="24" t="s">
        <v>247</v>
      </c>
      <c r="B35" s="24" t="s">
        <v>248</v>
      </c>
      <c r="C35" s="24" t="s">
        <v>249</v>
      </c>
      <c r="D35" s="24" t="s">
        <v>191</v>
      </c>
      <c r="E35" s="31" t="s">
        <v>192</v>
      </c>
      <c r="F35" s="26" t="s">
        <v>259</v>
      </c>
      <c r="G35" s="26" t="s">
        <v>260</v>
      </c>
    </row>
    <row r="36" customFormat="false" ht="39.75" hidden="false" customHeight="true" outlineLevel="0" collapsed="false">
      <c r="A36" s="24" t="s">
        <v>247</v>
      </c>
      <c r="B36" s="24" t="s">
        <v>248</v>
      </c>
      <c r="C36" s="24" t="s">
        <v>249</v>
      </c>
      <c r="D36" s="24" t="s">
        <v>195</v>
      </c>
      <c r="E36" s="29" t="s">
        <v>196</v>
      </c>
      <c r="F36" s="26" t="s">
        <v>197</v>
      </c>
      <c r="G36" s="26" t="s">
        <v>198</v>
      </c>
    </row>
    <row r="37" customFormat="false" ht="39.75" hidden="false" customHeight="true" outlineLevel="0" collapsed="false">
      <c r="A37" s="24" t="s">
        <v>261</v>
      </c>
      <c r="B37" s="24" t="s">
        <v>262</v>
      </c>
      <c r="C37" s="24" t="s">
        <v>263</v>
      </c>
      <c r="D37" s="24" t="s">
        <v>171</v>
      </c>
      <c r="E37" s="25" t="s">
        <v>172</v>
      </c>
      <c r="F37" s="26" t="s">
        <v>264</v>
      </c>
      <c r="G37" s="26" t="s">
        <v>265</v>
      </c>
    </row>
    <row r="38" customFormat="false" ht="42" hidden="false" customHeight="true" outlineLevel="0" collapsed="false">
      <c r="A38" s="24" t="s">
        <v>261</v>
      </c>
      <c r="B38" s="24" t="s">
        <v>262</v>
      </c>
      <c r="C38" s="24" t="s">
        <v>263</v>
      </c>
      <c r="D38" s="24" t="s">
        <v>175</v>
      </c>
      <c r="E38" s="27" t="s">
        <v>176</v>
      </c>
      <c r="F38" s="26" t="s">
        <v>266</v>
      </c>
      <c r="G38" s="26" t="s">
        <v>267</v>
      </c>
    </row>
    <row r="39" customFormat="false" ht="39.75" hidden="false" customHeight="true" outlineLevel="0" collapsed="false">
      <c r="A39" s="24" t="s">
        <v>261</v>
      </c>
      <c r="B39" s="24" t="s">
        <v>262</v>
      </c>
      <c r="C39" s="24" t="s">
        <v>263</v>
      </c>
      <c r="D39" s="24" t="s">
        <v>179</v>
      </c>
      <c r="E39" s="28" t="s">
        <v>180</v>
      </c>
      <c r="F39" s="26" t="s">
        <v>268</v>
      </c>
      <c r="G39" s="26" t="s">
        <v>269</v>
      </c>
    </row>
    <row r="40" customFormat="false" ht="39.75" hidden="false" customHeight="true" outlineLevel="0" collapsed="false">
      <c r="A40" s="24" t="s">
        <v>261</v>
      </c>
      <c r="B40" s="24" t="s">
        <v>262</v>
      </c>
      <c r="C40" s="24" t="s">
        <v>263</v>
      </c>
      <c r="D40" s="24" t="s">
        <v>183</v>
      </c>
      <c r="E40" s="29" t="s">
        <v>184</v>
      </c>
      <c r="F40" s="26" t="s">
        <v>270</v>
      </c>
      <c r="G40" s="26" t="s">
        <v>271</v>
      </c>
    </row>
    <row r="41" customFormat="false" ht="139.5" hidden="false" customHeight="true" outlineLevel="0" collapsed="false">
      <c r="A41" s="24" t="s">
        <v>261</v>
      </c>
      <c r="B41" s="24" t="s">
        <v>262</v>
      </c>
      <c r="C41" s="24" t="s">
        <v>263</v>
      </c>
      <c r="D41" s="24" t="s">
        <v>187</v>
      </c>
      <c r="E41" s="30" t="s">
        <v>188</v>
      </c>
      <c r="F41" s="26" t="s">
        <v>189</v>
      </c>
      <c r="G41" s="26" t="s">
        <v>272</v>
      </c>
    </row>
    <row r="42" customFormat="false" ht="39.75" hidden="false" customHeight="true" outlineLevel="0" collapsed="false">
      <c r="A42" s="24" t="s">
        <v>261</v>
      </c>
      <c r="B42" s="24" t="s">
        <v>262</v>
      </c>
      <c r="C42" s="24" t="s">
        <v>263</v>
      </c>
      <c r="D42" s="24" t="s">
        <v>191</v>
      </c>
      <c r="E42" s="31" t="s">
        <v>192</v>
      </c>
      <c r="F42" s="26" t="s">
        <v>273</v>
      </c>
      <c r="G42" s="26" t="s">
        <v>274</v>
      </c>
    </row>
    <row r="43" customFormat="false" ht="39.75" hidden="false" customHeight="true" outlineLevel="0" collapsed="false">
      <c r="A43" s="24" t="s">
        <v>261</v>
      </c>
      <c r="B43" s="24" t="s">
        <v>262</v>
      </c>
      <c r="C43" s="24" t="s">
        <v>263</v>
      </c>
      <c r="D43" s="24" t="s">
        <v>195</v>
      </c>
      <c r="E43" s="29" t="s">
        <v>196</v>
      </c>
      <c r="F43" s="26" t="s">
        <v>275</v>
      </c>
      <c r="G43" s="26" t="s">
        <v>276</v>
      </c>
    </row>
    <row r="44" customFormat="false" ht="39.75" hidden="false" customHeight="true" outlineLevel="0" collapsed="false">
      <c r="A44" s="24" t="s">
        <v>277</v>
      </c>
      <c r="B44" s="24" t="s">
        <v>278</v>
      </c>
      <c r="C44" s="24" t="s">
        <v>279</v>
      </c>
      <c r="D44" s="24" t="s">
        <v>171</v>
      </c>
      <c r="E44" s="25" t="s">
        <v>172</v>
      </c>
      <c r="F44" s="26" t="s">
        <v>280</v>
      </c>
      <c r="G44" s="26" t="s">
        <v>281</v>
      </c>
    </row>
    <row r="45" customFormat="false" ht="42" hidden="false" customHeight="true" outlineLevel="0" collapsed="false">
      <c r="A45" s="24" t="s">
        <v>277</v>
      </c>
      <c r="B45" s="24" t="s">
        <v>278</v>
      </c>
      <c r="C45" s="24" t="s">
        <v>279</v>
      </c>
      <c r="D45" s="24" t="s">
        <v>175</v>
      </c>
      <c r="E45" s="27" t="s">
        <v>176</v>
      </c>
      <c r="F45" s="26" t="s">
        <v>282</v>
      </c>
      <c r="G45" s="26" t="s">
        <v>283</v>
      </c>
    </row>
    <row r="46" customFormat="false" ht="39.75" hidden="false" customHeight="true" outlineLevel="0" collapsed="false">
      <c r="A46" s="24" t="s">
        <v>277</v>
      </c>
      <c r="B46" s="24" t="s">
        <v>278</v>
      </c>
      <c r="C46" s="24" t="s">
        <v>279</v>
      </c>
      <c r="D46" s="24" t="s">
        <v>179</v>
      </c>
      <c r="E46" s="28" t="s">
        <v>180</v>
      </c>
      <c r="F46" s="26" t="s">
        <v>284</v>
      </c>
      <c r="G46" s="26" t="s">
        <v>285</v>
      </c>
    </row>
    <row r="47" customFormat="false" ht="39.75" hidden="false" customHeight="true" outlineLevel="0" collapsed="false">
      <c r="A47" s="24" t="s">
        <v>277</v>
      </c>
      <c r="B47" s="24" t="s">
        <v>278</v>
      </c>
      <c r="C47" s="24" t="s">
        <v>279</v>
      </c>
      <c r="D47" s="24" t="s">
        <v>183</v>
      </c>
      <c r="E47" s="29" t="s">
        <v>184</v>
      </c>
      <c r="F47" s="26" t="s">
        <v>286</v>
      </c>
      <c r="G47" s="26" t="s">
        <v>287</v>
      </c>
    </row>
    <row r="48" customFormat="false" ht="139.5" hidden="false" customHeight="true" outlineLevel="0" collapsed="false">
      <c r="A48" s="24" t="s">
        <v>277</v>
      </c>
      <c r="B48" s="24" t="s">
        <v>278</v>
      </c>
      <c r="C48" s="24" t="s">
        <v>279</v>
      </c>
      <c r="D48" s="24" t="s">
        <v>187</v>
      </c>
      <c r="E48" s="30" t="s">
        <v>188</v>
      </c>
      <c r="F48" s="26" t="s">
        <v>189</v>
      </c>
      <c r="G48" s="26" t="s">
        <v>288</v>
      </c>
    </row>
    <row r="49" customFormat="false" ht="39.75" hidden="false" customHeight="true" outlineLevel="0" collapsed="false">
      <c r="A49" s="24" t="s">
        <v>277</v>
      </c>
      <c r="B49" s="24" t="s">
        <v>278</v>
      </c>
      <c r="C49" s="24" t="s">
        <v>279</v>
      </c>
      <c r="D49" s="24" t="s">
        <v>191</v>
      </c>
      <c r="E49" s="31" t="s">
        <v>192</v>
      </c>
      <c r="F49" s="26" t="s">
        <v>289</v>
      </c>
      <c r="G49" s="26" t="s">
        <v>290</v>
      </c>
    </row>
    <row r="50" customFormat="false" ht="39.75" hidden="false" customHeight="true" outlineLevel="0" collapsed="false">
      <c r="A50" s="24" t="s">
        <v>277</v>
      </c>
      <c r="B50" s="24" t="s">
        <v>278</v>
      </c>
      <c r="C50" s="24" t="s">
        <v>279</v>
      </c>
      <c r="D50" s="24" t="s">
        <v>195</v>
      </c>
      <c r="E50" s="29" t="s">
        <v>196</v>
      </c>
      <c r="F50" s="26" t="s">
        <v>229</v>
      </c>
      <c r="G50" s="26" t="s">
        <v>230</v>
      </c>
    </row>
    <row r="51" customFormat="false" ht="39.75" hidden="false" customHeight="true" outlineLevel="0" collapsed="false">
      <c r="A51" s="24" t="s">
        <v>291</v>
      </c>
      <c r="B51" s="24" t="s">
        <v>169</v>
      </c>
      <c r="C51" s="24" t="s">
        <v>292</v>
      </c>
      <c r="D51" s="24" t="s">
        <v>171</v>
      </c>
      <c r="E51" s="25" t="s">
        <v>172</v>
      </c>
      <c r="F51" s="26" t="s">
        <v>293</v>
      </c>
      <c r="G51" s="26" t="s">
        <v>294</v>
      </c>
    </row>
    <row r="52" customFormat="false" ht="42" hidden="false" customHeight="true" outlineLevel="0" collapsed="false">
      <c r="A52" s="24" t="s">
        <v>291</v>
      </c>
      <c r="B52" s="24" t="s">
        <v>169</v>
      </c>
      <c r="C52" s="24" t="s">
        <v>292</v>
      </c>
      <c r="D52" s="24" t="s">
        <v>175</v>
      </c>
      <c r="E52" s="27" t="s">
        <v>176</v>
      </c>
      <c r="F52" s="26" t="s">
        <v>295</v>
      </c>
      <c r="G52" s="26" t="s">
        <v>296</v>
      </c>
    </row>
    <row r="53" customFormat="false" ht="39.75" hidden="false" customHeight="true" outlineLevel="0" collapsed="false">
      <c r="A53" s="24" t="s">
        <v>291</v>
      </c>
      <c r="B53" s="24" t="s">
        <v>169</v>
      </c>
      <c r="C53" s="24" t="s">
        <v>292</v>
      </c>
      <c r="D53" s="24" t="s">
        <v>179</v>
      </c>
      <c r="E53" s="28" t="s">
        <v>180</v>
      </c>
      <c r="F53" s="26" t="s">
        <v>297</v>
      </c>
      <c r="G53" s="26" t="s">
        <v>298</v>
      </c>
    </row>
    <row r="54" customFormat="false" ht="39.75" hidden="false" customHeight="true" outlineLevel="0" collapsed="false">
      <c r="A54" s="24" t="s">
        <v>291</v>
      </c>
      <c r="B54" s="24" t="s">
        <v>169</v>
      </c>
      <c r="C54" s="24" t="s">
        <v>292</v>
      </c>
      <c r="D54" s="24" t="s">
        <v>183</v>
      </c>
      <c r="E54" s="29" t="s">
        <v>184</v>
      </c>
      <c r="F54" s="26" t="s">
        <v>299</v>
      </c>
      <c r="G54" s="26" t="s">
        <v>300</v>
      </c>
    </row>
    <row r="55" customFormat="false" ht="139.5" hidden="false" customHeight="true" outlineLevel="0" collapsed="false">
      <c r="A55" s="24" t="s">
        <v>291</v>
      </c>
      <c r="B55" s="24" t="s">
        <v>169</v>
      </c>
      <c r="C55" s="24" t="s">
        <v>292</v>
      </c>
      <c r="D55" s="24" t="s">
        <v>187</v>
      </c>
      <c r="E55" s="30" t="s">
        <v>188</v>
      </c>
      <c r="F55" s="26" t="s">
        <v>189</v>
      </c>
      <c r="G55" s="26" t="s">
        <v>301</v>
      </c>
    </row>
    <row r="56" customFormat="false" ht="39.75" hidden="false" customHeight="true" outlineLevel="0" collapsed="false">
      <c r="A56" s="24" t="s">
        <v>291</v>
      </c>
      <c r="B56" s="24" t="s">
        <v>169</v>
      </c>
      <c r="C56" s="24" t="s">
        <v>292</v>
      </c>
      <c r="D56" s="24" t="s">
        <v>191</v>
      </c>
      <c r="E56" s="31" t="s">
        <v>192</v>
      </c>
      <c r="F56" s="26" t="s">
        <v>302</v>
      </c>
      <c r="G56" s="26" t="s">
        <v>303</v>
      </c>
    </row>
    <row r="57" customFormat="false" ht="39.75" hidden="false" customHeight="true" outlineLevel="0" collapsed="false">
      <c r="A57" s="24" t="s">
        <v>291</v>
      </c>
      <c r="B57" s="24" t="s">
        <v>169</v>
      </c>
      <c r="C57" s="24" t="s">
        <v>292</v>
      </c>
      <c r="D57" s="24" t="s">
        <v>195</v>
      </c>
      <c r="E57" s="29" t="s">
        <v>196</v>
      </c>
      <c r="F57" s="26" t="s">
        <v>245</v>
      </c>
      <c r="G57" s="26" t="s">
        <v>246</v>
      </c>
    </row>
    <row r="58" customFormat="false" ht="39.75" hidden="false" customHeight="true" outlineLevel="0" collapsed="false">
      <c r="A58" s="24" t="s">
        <v>304</v>
      </c>
      <c r="B58" s="24" t="s">
        <v>200</v>
      </c>
      <c r="C58" s="24" t="s">
        <v>305</v>
      </c>
      <c r="D58" s="24" t="s">
        <v>171</v>
      </c>
      <c r="E58" s="25" t="s">
        <v>172</v>
      </c>
      <c r="F58" s="26" t="s">
        <v>306</v>
      </c>
      <c r="G58" s="26" t="s">
        <v>307</v>
      </c>
    </row>
    <row r="59" customFormat="false" ht="55.5" hidden="false" customHeight="true" outlineLevel="0" collapsed="false">
      <c r="A59" s="24" t="s">
        <v>304</v>
      </c>
      <c r="B59" s="24" t="s">
        <v>200</v>
      </c>
      <c r="C59" s="24" t="s">
        <v>305</v>
      </c>
      <c r="D59" s="24" t="s">
        <v>175</v>
      </c>
      <c r="E59" s="27" t="s">
        <v>176</v>
      </c>
      <c r="F59" s="26" t="s">
        <v>308</v>
      </c>
      <c r="G59" s="26" t="s">
        <v>309</v>
      </c>
    </row>
    <row r="60" customFormat="false" ht="39.75" hidden="false" customHeight="true" outlineLevel="0" collapsed="false">
      <c r="A60" s="24" t="s">
        <v>304</v>
      </c>
      <c r="B60" s="24" t="s">
        <v>200</v>
      </c>
      <c r="C60" s="24" t="s">
        <v>305</v>
      </c>
      <c r="D60" s="24" t="s">
        <v>179</v>
      </c>
      <c r="E60" s="28" t="s">
        <v>180</v>
      </c>
      <c r="F60" s="26" t="s">
        <v>310</v>
      </c>
      <c r="G60" s="26" t="s">
        <v>311</v>
      </c>
    </row>
    <row r="61" customFormat="false" ht="39.75" hidden="false" customHeight="true" outlineLevel="0" collapsed="false">
      <c r="A61" s="24" t="s">
        <v>304</v>
      </c>
      <c r="B61" s="24" t="s">
        <v>200</v>
      </c>
      <c r="C61" s="24" t="s">
        <v>305</v>
      </c>
      <c r="D61" s="24" t="s">
        <v>183</v>
      </c>
      <c r="E61" s="29" t="s">
        <v>184</v>
      </c>
      <c r="F61" s="26" t="s">
        <v>312</v>
      </c>
      <c r="G61" s="26" t="s">
        <v>313</v>
      </c>
    </row>
    <row r="62" customFormat="false" ht="139.5" hidden="false" customHeight="true" outlineLevel="0" collapsed="false">
      <c r="A62" s="24" t="s">
        <v>304</v>
      </c>
      <c r="B62" s="24" t="s">
        <v>200</v>
      </c>
      <c r="C62" s="24" t="s">
        <v>305</v>
      </c>
      <c r="D62" s="24" t="s">
        <v>187</v>
      </c>
      <c r="E62" s="30" t="s">
        <v>188</v>
      </c>
      <c r="F62" s="26" t="s">
        <v>189</v>
      </c>
      <c r="G62" s="26" t="s">
        <v>242</v>
      </c>
    </row>
    <row r="63" customFormat="false" ht="39.75" hidden="false" customHeight="true" outlineLevel="0" collapsed="false">
      <c r="A63" s="24" t="s">
        <v>304</v>
      </c>
      <c r="B63" s="24" t="s">
        <v>200</v>
      </c>
      <c r="C63" s="24" t="s">
        <v>305</v>
      </c>
      <c r="D63" s="24" t="s">
        <v>191</v>
      </c>
      <c r="E63" s="31" t="s">
        <v>192</v>
      </c>
      <c r="F63" s="26" t="s">
        <v>314</v>
      </c>
      <c r="G63" s="26" t="s">
        <v>315</v>
      </c>
    </row>
    <row r="64" customFormat="false" ht="39.75" hidden="false" customHeight="true" outlineLevel="0" collapsed="false">
      <c r="A64" s="24" t="s">
        <v>304</v>
      </c>
      <c r="B64" s="24" t="s">
        <v>200</v>
      </c>
      <c r="C64" s="24" t="s">
        <v>305</v>
      </c>
      <c r="D64" s="24" t="s">
        <v>195</v>
      </c>
      <c r="E64" s="29" t="s">
        <v>196</v>
      </c>
      <c r="F64" s="26" t="s">
        <v>197</v>
      </c>
      <c r="G64" s="26" t="s">
        <v>198</v>
      </c>
    </row>
    <row r="65" customFormat="false" ht="39.75" hidden="false" customHeight="true" outlineLevel="0" collapsed="false">
      <c r="A65" s="32" t="s">
        <v>316</v>
      </c>
      <c r="B65" s="32" t="s">
        <v>216</v>
      </c>
      <c r="C65" s="32" t="s">
        <v>317</v>
      </c>
      <c r="D65" s="24" t="s">
        <v>171</v>
      </c>
      <c r="E65" s="25" t="s">
        <v>172</v>
      </c>
      <c r="F65" s="26" t="s">
        <v>318</v>
      </c>
      <c r="G65" s="26" t="s">
        <v>319</v>
      </c>
    </row>
    <row r="66" customFormat="false" ht="55.5" hidden="false" customHeight="true" outlineLevel="0" collapsed="false">
      <c r="A66" s="24" t="s">
        <v>316</v>
      </c>
      <c r="B66" s="24" t="s">
        <v>216</v>
      </c>
      <c r="C66" s="24" t="s">
        <v>317</v>
      </c>
      <c r="D66" s="24" t="s">
        <v>175</v>
      </c>
      <c r="E66" s="27" t="s">
        <v>176</v>
      </c>
      <c r="F66" s="26" t="s">
        <v>320</v>
      </c>
      <c r="G66" s="26" t="s">
        <v>321</v>
      </c>
    </row>
    <row r="67" customFormat="false" ht="39.75" hidden="false" customHeight="true" outlineLevel="0" collapsed="false">
      <c r="A67" s="24" t="s">
        <v>316</v>
      </c>
      <c r="B67" s="24" t="s">
        <v>216</v>
      </c>
      <c r="C67" s="24" t="s">
        <v>317</v>
      </c>
      <c r="D67" s="24" t="s">
        <v>179</v>
      </c>
      <c r="E67" s="28" t="s">
        <v>180</v>
      </c>
      <c r="F67" s="26" t="s">
        <v>322</v>
      </c>
      <c r="G67" s="26" t="s">
        <v>323</v>
      </c>
    </row>
    <row r="68" customFormat="false" ht="39.75" hidden="false" customHeight="true" outlineLevel="0" collapsed="false">
      <c r="A68" s="24" t="s">
        <v>316</v>
      </c>
      <c r="B68" s="24" t="s">
        <v>216</v>
      </c>
      <c r="C68" s="24" t="s">
        <v>317</v>
      </c>
      <c r="D68" s="24" t="s">
        <v>183</v>
      </c>
      <c r="E68" s="29" t="s">
        <v>184</v>
      </c>
      <c r="F68" s="26" t="s">
        <v>324</v>
      </c>
      <c r="G68" s="26" t="s">
        <v>325</v>
      </c>
    </row>
    <row r="69" customFormat="false" ht="139.5" hidden="false" customHeight="true" outlineLevel="0" collapsed="false">
      <c r="A69" s="24" t="s">
        <v>316</v>
      </c>
      <c r="B69" s="24" t="s">
        <v>216</v>
      </c>
      <c r="C69" s="24" t="s">
        <v>317</v>
      </c>
      <c r="D69" s="24" t="s">
        <v>187</v>
      </c>
      <c r="E69" s="30" t="s">
        <v>188</v>
      </c>
      <c r="F69" s="26" t="s">
        <v>189</v>
      </c>
      <c r="G69" s="26" t="s">
        <v>326</v>
      </c>
    </row>
    <row r="70" customFormat="false" ht="39.75" hidden="false" customHeight="true" outlineLevel="0" collapsed="false">
      <c r="A70" s="24" t="s">
        <v>316</v>
      </c>
      <c r="B70" s="24" t="s">
        <v>216</v>
      </c>
      <c r="C70" s="24" t="s">
        <v>317</v>
      </c>
      <c r="D70" s="24" t="s">
        <v>191</v>
      </c>
      <c r="E70" s="31" t="s">
        <v>192</v>
      </c>
      <c r="F70" s="26" t="s">
        <v>327</v>
      </c>
      <c r="G70" s="26" t="s">
        <v>328</v>
      </c>
    </row>
    <row r="71" customFormat="false" ht="39.75" hidden="false" customHeight="true" outlineLevel="0" collapsed="false">
      <c r="A71" s="24" t="s">
        <v>316</v>
      </c>
      <c r="B71" s="24" t="s">
        <v>216</v>
      </c>
      <c r="C71" s="24" t="s">
        <v>317</v>
      </c>
      <c r="D71" s="24" t="s">
        <v>195</v>
      </c>
      <c r="E71" s="29" t="s">
        <v>196</v>
      </c>
      <c r="F71" s="26" t="s">
        <v>329</v>
      </c>
      <c r="G71" s="26" t="s">
        <v>330</v>
      </c>
    </row>
    <row r="72" customFormat="false" ht="39.75" hidden="false" customHeight="true" outlineLevel="0" collapsed="false">
      <c r="A72" s="24" t="s">
        <v>331</v>
      </c>
      <c r="B72" s="24" t="s">
        <v>232</v>
      </c>
      <c r="C72" s="24" t="s">
        <v>332</v>
      </c>
      <c r="D72" s="24" t="s">
        <v>171</v>
      </c>
      <c r="E72" s="25" t="s">
        <v>172</v>
      </c>
      <c r="F72" s="26" t="s">
        <v>333</v>
      </c>
      <c r="G72" s="26" t="s">
        <v>334</v>
      </c>
    </row>
    <row r="73" customFormat="false" ht="55.5" hidden="false" customHeight="true" outlineLevel="0" collapsed="false">
      <c r="A73" s="24" t="s">
        <v>331</v>
      </c>
      <c r="B73" s="24" t="s">
        <v>232</v>
      </c>
      <c r="C73" s="24" t="s">
        <v>332</v>
      </c>
      <c r="D73" s="24" t="s">
        <v>175</v>
      </c>
      <c r="E73" s="27" t="s">
        <v>176</v>
      </c>
      <c r="F73" s="26" t="s">
        <v>335</v>
      </c>
      <c r="G73" s="26" t="s">
        <v>336</v>
      </c>
    </row>
    <row r="74" customFormat="false" ht="39.75" hidden="false" customHeight="true" outlineLevel="0" collapsed="false">
      <c r="A74" s="24" t="s">
        <v>331</v>
      </c>
      <c r="B74" s="24" t="s">
        <v>232</v>
      </c>
      <c r="C74" s="24" t="s">
        <v>332</v>
      </c>
      <c r="D74" s="24" t="s">
        <v>179</v>
      </c>
      <c r="E74" s="28" t="s">
        <v>180</v>
      </c>
      <c r="F74" s="26" t="s">
        <v>337</v>
      </c>
      <c r="G74" s="26" t="s">
        <v>338</v>
      </c>
    </row>
    <row r="75" customFormat="false" ht="39.75" hidden="false" customHeight="true" outlineLevel="0" collapsed="false">
      <c r="A75" s="24" t="s">
        <v>331</v>
      </c>
      <c r="B75" s="24" t="s">
        <v>232</v>
      </c>
      <c r="C75" s="24" t="s">
        <v>332</v>
      </c>
      <c r="D75" s="24" t="s">
        <v>183</v>
      </c>
      <c r="E75" s="29" t="s">
        <v>184</v>
      </c>
      <c r="F75" s="26" t="s">
        <v>256</v>
      </c>
      <c r="G75" s="26" t="s">
        <v>257</v>
      </c>
    </row>
    <row r="76" customFormat="false" ht="139.5" hidden="false" customHeight="true" outlineLevel="0" collapsed="false">
      <c r="A76" s="24" t="s">
        <v>331</v>
      </c>
      <c r="B76" s="24" t="s">
        <v>232</v>
      </c>
      <c r="C76" s="24" t="s">
        <v>332</v>
      </c>
      <c r="D76" s="24" t="s">
        <v>187</v>
      </c>
      <c r="E76" s="30" t="s">
        <v>188</v>
      </c>
      <c r="F76" s="26" t="s">
        <v>189</v>
      </c>
      <c r="G76" s="26" t="s">
        <v>339</v>
      </c>
    </row>
    <row r="77" customFormat="false" ht="39.75" hidden="false" customHeight="true" outlineLevel="0" collapsed="false">
      <c r="A77" s="24" t="s">
        <v>331</v>
      </c>
      <c r="B77" s="24" t="s">
        <v>232</v>
      </c>
      <c r="C77" s="24" t="s">
        <v>332</v>
      </c>
      <c r="D77" s="24" t="s">
        <v>191</v>
      </c>
      <c r="E77" s="31" t="s">
        <v>192</v>
      </c>
      <c r="F77" s="26" t="s">
        <v>340</v>
      </c>
      <c r="G77" s="26" t="s">
        <v>341</v>
      </c>
    </row>
    <row r="78" customFormat="false" ht="39.75" hidden="false" customHeight="true" outlineLevel="0" collapsed="false">
      <c r="A78" s="24" t="s">
        <v>331</v>
      </c>
      <c r="B78" s="24" t="s">
        <v>232</v>
      </c>
      <c r="C78" s="24" t="s">
        <v>332</v>
      </c>
      <c r="D78" s="24" t="s">
        <v>195</v>
      </c>
      <c r="E78" s="29" t="s">
        <v>196</v>
      </c>
      <c r="F78" s="26" t="s">
        <v>229</v>
      </c>
      <c r="G78" s="26" t="s">
        <v>230</v>
      </c>
    </row>
    <row r="79" customFormat="false" ht="39.75" hidden="false" customHeight="true" outlineLevel="0" collapsed="false">
      <c r="A79" s="24" t="s">
        <v>342</v>
      </c>
      <c r="B79" s="24" t="s">
        <v>248</v>
      </c>
      <c r="C79" s="24" t="s">
        <v>343</v>
      </c>
      <c r="D79" s="24" t="s">
        <v>171</v>
      </c>
      <c r="E79" s="25" t="s">
        <v>172</v>
      </c>
      <c r="F79" s="26" t="s">
        <v>344</v>
      </c>
      <c r="G79" s="26" t="s">
        <v>345</v>
      </c>
    </row>
    <row r="80" customFormat="false" ht="55.5" hidden="false" customHeight="true" outlineLevel="0" collapsed="false">
      <c r="A80" s="24" t="s">
        <v>342</v>
      </c>
      <c r="B80" s="24" t="s">
        <v>248</v>
      </c>
      <c r="C80" s="24" t="s">
        <v>343</v>
      </c>
      <c r="D80" s="24" t="s">
        <v>175</v>
      </c>
      <c r="E80" s="27" t="s">
        <v>176</v>
      </c>
      <c r="F80" s="26" t="s">
        <v>346</v>
      </c>
      <c r="G80" s="26" t="s">
        <v>347</v>
      </c>
    </row>
    <row r="81" customFormat="false" ht="39.75" hidden="false" customHeight="true" outlineLevel="0" collapsed="false">
      <c r="A81" s="24" t="s">
        <v>342</v>
      </c>
      <c r="B81" s="24" t="s">
        <v>248</v>
      </c>
      <c r="C81" s="24" t="s">
        <v>343</v>
      </c>
      <c r="D81" s="24" t="s">
        <v>179</v>
      </c>
      <c r="E81" s="28" t="s">
        <v>180</v>
      </c>
      <c r="F81" s="26" t="s">
        <v>348</v>
      </c>
      <c r="G81" s="26" t="s">
        <v>349</v>
      </c>
    </row>
    <row r="82" customFormat="false" ht="39.75" hidden="false" customHeight="true" outlineLevel="0" collapsed="false">
      <c r="A82" s="24" t="s">
        <v>342</v>
      </c>
      <c r="B82" s="24" t="s">
        <v>248</v>
      </c>
      <c r="C82" s="24" t="s">
        <v>343</v>
      </c>
      <c r="D82" s="24" t="s">
        <v>183</v>
      </c>
      <c r="E82" s="29" t="s">
        <v>184</v>
      </c>
      <c r="F82" s="26" t="s">
        <v>350</v>
      </c>
      <c r="G82" s="26" t="s">
        <v>351</v>
      </c>
    </row>
    <row r="83" customFormat="false" ht="139.5" hidden="false" customHeight="true" outlineLevel="0" collapsed="false">
      <c r="A83" s="24" t="s">
        <v>342</v>
      </c>
      <c r="B83" s="24" t="s">
        <v>248</v>
      </c>
      <c r="C83" s="24" t="s">
        <v>343</v>
      </c>
      <c r="D83" s="24" t="s">
        <v>187</v>
      </c>
      <c r="E83" s="30" t="s">
        <v>188</v>
      </c>
      <c r="F83" s="26" t="s">
        <v>189</v>
      </c>
      <c r="G83" s="26" t="s">
        <v>352</v>
      </c>
    </row>
    <row r="84" customFormat="false" ht="39.75" hidden="false" customHeight="true" outlineLevel="0" collapsed="false">
      <c r="A84" s="24" t="s">
        <v>342</v>
      </c>
      <c r="B84" s="24" t="s">
        <v>248</v>
      </c>
      <c r="C84" s="24" t="s">
        <v>343</v>
      </c>
      <c r="D84" s="24" t="s">
        <v>191</v>
      </c>
      <c r="E84" s="31" t="s">
        <v>192</v>
      </c>
      <c r="F84" s="26" t="s">
        <v>353</v>
      </c>
      <c r="G84" s="26" t="s">
        <v>354</v>
      </c>
    </row>
    <row r="85" customFormat="false" ht="39.75" hidden="false" customHeight="true" outlineLevel="0" collapsed="false">
      <c r="A85" s="24" t="s">
        <v>342</v>
      </c>
      <c r="B85" s="24" t="s">
        <v>248</v>
      </c>
      <c r="C85" s="24" t="s">
        <v>343</v>
      </c>
      <c r="D85" s="24" t="s">
        <v>195</v>
      </c>
      <c r="E85" s="29" t="s">
        <v>196</v>
      </c>
      <c r="F85" s="26" t="s">
        <v>245</v>
      </c>
      <c r="G85" s="26" t="s">
        <v>246</v>
      </c>
    </row>
    <row r="86" customFormat="false" ht="39.75" hidden="false" customHeight="true" outlineLevel="0" collapsed="false">
      <c r="A86" s="24" t="s">
        <v>355</v>
      </c>
      <c r="B86" s="24" t="s">
        <v>262</v>
      </c>
      <c r="C86" s="24" t="s">
        <v>356</v>
      </c>
      <c r="D86" s="24" t="s">
        <v>171</v>
      </c>
      <c r="E86" s="25" t="s">
        <v>172</v>
      </c>
      <c r="F86" s="26" t="s">
        <v>357</v>
      </c>
      <c r="G86" s="26" t="s">
        <v>358</v>
      </c>
    </row>
    <row r="87" customFormat="false" ht="55.5" hidden="false" customHeight="true" outlineLevel="0" collapsed="false">
      <c r="A87" s="24" t="s">
        <v>355</v>
      </c>
      <c r="B87" s="24" t="s">
        <v>262</v>
      </c>
      <c r="C87" s="24" t="s">
        <v>356</v>
      </c>
      <c r="D87" s="24" t="s">
        <v>175</v>
      </c>
      <c r="E87" s="27" t="s">
        <v>176</v>
      </c>
      <c r="F87" s="26" t="s">
        <v>359</v>
      </c>
      <c r="G87" s="26" t="s">
        <v>360</v>
      </c>
    </row>
    <row r="88" customFormat="false" ht="39.75" hidden="false" customHeight="true" outlineLevel="0" collapsed="false">
      <c r="A88" s="24" t="s">
        <v>355</v>
      </c>
      <c r="B88" s="24" t="s">
        <v>262</v>
      </c>
      <c r="C88" s="24" t="s">
        <v>356</v>
      </c>
      <c r="D88" s="24" t="s">
        <v>179</v>
      </c>
      <c r="E88" s="28" t="s">
        <v>180</v>
      </c>
      <c r="F88" s="26" t="s">
        <v>361</v>
      </c>
      <c r="G88" s="26" t="s">
        <v>362</v>
      </c>
    </row>
    <row r="89" customFormat="false" ht="39.75" hidden="false" customHeight="true" outlineLevel="0" collapsed="false">
      <c r="A89" s="24" t="s">
        <v>355</v>
      </c>
      <c r="B89" s="24" t="s">
        <v>262</v>
      </c>
      <c r="C89" s="24" t="s">
        <v>356</v>
      </c>
      <c r="D89" s="24" t="s">
        <v>183</v>
      </c>
      <c r="E89" s="29" t="s">
        <v>184</v>
      </c>
      <c r="F89" s="26" t="s">
        <v>185</v>
      </c>
      <c r="G89" s="26" t="s">
        <v>186</v>
      </c>
    </row>
    <row r="90" customFormat="false" ht="139.5" hidden="false" customHeight="true" outlineLevel="0" collapsed="false">
      <c r="A90" s="24" t="s">
        <v>355</v>
      </c>
      <c r="B90" s="24" t="s">
        <v>262</v>
      </c>
      <c r="C90" s="24" t="s">
        <v>356</v>
      </c>
      <c r="D90" s="24" t="s">
        <v>187</v>
      </c>
      <c r="E90" s="30" t="s">
        <v>188</v>
      </c>
      <c r="F90" s="26" t="s">
        <v>189</v>
      </c>
      <c r="G90" s="26" t="s">
        <v>363</v>
      </c>
    </row>
    <row r="91" customFormat="false" ht="39.75" hidden="false" customHeight="true" outlineLevel="0" collapsed="false">
      <c r="A91" s="24" t="s">
        <v>355</v>
      </c>
      <c r="B91" s="24" t="s">
        <v>262</v>
      </c>
      <c r="C91" s="24" t="s">
        <v>356</v>
      </c>
      <c r="D91" s="24" t="s">
        <v>191</v>
      </c>
      <c r="E91" s="31" t="s">
        <v>192</v>
      </c>
      <c r="F91" s="26" t="s">
        <v>364</v>
      </c>
      <c r="G91" s="26" t="s">
        <v>365</v>
      </c>
    </row>
    <row r="92" customFormat="false" ht="39.75" hidden="false" customHeight="true" outlineLevel="0" collapsed="false">
      <c r="A92" s="24" t="s">
        <v>355</v>
      </c>
      <c r="B92" s="24" t="s">
        <v>262</v>
      </c>
      <c r="C92" s="24" t="s">
        <v>356</v>
      </c>
      <c r="D92" s="24" t="s">
        <v>195</v>
      </c>
      <c r="E92" s="29" t="s">
        <v>196</v>
      </c>
      <c r="F92" s="26" t="s">
        <v>197</v>
      </c>
      <c r="G92" s="26" t="s">
        <v>198</v>
      </c>
    </row>
    <row r="93" customFormat="false" ht="39.75" hidden="false" customHeight="true" outlineLevel="0" collapsed="false">
      <c r="A93" s="24" t="s">
        <v>366</v>
      </c>
      <c r="B93" s="24" t="s">
        <v>278</v>
      </c>
      <c r="C93" s="24" t="s">
        <v>367</v>
      </c>
      <c r="D93" s="24" t="s">
        <v>171</v>
      </c>
      <c r="E93" s="25" t="s">
        <v>172</v>
      </c>
      <c r="F93" s="26" t="s">
        <v>368</v>
      </c>
      <c r="G93" s="26" t="s">
        <v>369</v>
      </c>
    </row>
    <row r="94" customFormat="false" ht="55.5" hidden="false" customHeight="true" outlineLevel="0" collapsed="false">
      <c r="A94" s="24" t="s">
        <v>366</v>
      </c>
      <c r="B94" s="24" t="s">
        <v>278</v>
      </c>
      <c r="C94" s="24" t="s">
        <v>367</v>
      </c>
      <c r="D94" s="24" t="s">
        <v>175</v>
      </c>
      <c r="E94" s="27" t="s">
        <v>176</v>
      </c>
      <c r="F94" s="26" t="s">
        <v>370</v>
      </c>
      <c r="G94" s="26" t="s">
        <v>371</v>
      </c>
    </row>
    <row r="95" customFormat="false" ht="39.75" hidden="false" customHeight="true" outlineLevel="0" collapsed="false">
      <c r="A95" s="24" t="s">
        <v>366</v>
      </c>
      <c r="B95" s="24" t="s">
        <v>278</v>
      </c>
      <c r="C95" s="24" t="s">
        <v>367</v>
      </c>
      <c r="D95" s="24" t="s">
        <v>179</v>
      </c>
      <c r="E95" s="28" t="s">
        <v>180</v>
      </c>
      <c r="F95" s="26" t="s">
        <v>372</v>
      </c>
      <c r="G95" s="26" t="s">
        <v>373</v>
      </c>
    </row>
    <row r="96" customFormat="false" ht="39.75" hidden="false" customHeight="true" outlineLevel="0" collapsed="false">
      <c r="A96" s="24" t="s">
        <v>366</v>
      </c>
      <c r="B96" s="24" t="s">
        <v>278</v>
      </c>
      <c r="C96" s="24" t="s">
        <v>367</v>
      </c>
      <c r="D96" s="24" t="s">
        <v>183</v>
      </c>
      <c r="E96" s="29" t="s">
        <v>184</v>
      </c>
      <c r="F96" s="26" t="s">
        <v>374</v>
      </c>
      <c r="G96" s="26" t="s">
        <v>375</v>
      </c>
    </row>
    <row r="97" customFormat="false" ht="153.75" hidden="false" customHeight="true" outlineLevel="0" collapsed="false">
      <c r="A97" s="24" t="s">
        <v>366</v>
      </c>
      <c r="B97" s="24" t="s">
        <v>278</v>
      </c>
      <c r="C97" s="24" t="s">
        <v>367</v>
      </c>
      <c r="D97" s="24" t="s">
        <v>187</v>
      </c>
      <c r="E97" s="30" t="s">
        <v>188</v>
      </c>
      <c r="F97" s="26" t="s">
        <v>189</v>
      </c>
      <c r="G97" s="26" t="s">
        <v>376</v>
      </c>
    </row>
    <row r="98" customFormat="false" ht="39.75" hidden="false" customHeight="true" outlineLevel="0" collapsed="false">
      <c r="A98" s="24" t="s">
        <v>366</v>
      </c>
      <c r="B98" s="24" t="s">
        <v>278</v>
      </c>
      <c r="C98" s="24" t="s">
        <v>367</v>
      </c>
      <c r="D98" s="24" t="s">
        <v>191</v>
      </c>
      <c r="E98" s="31" t="s">
        <v>192</v>
      </c>
      <c r="F98" s="26" t="s">
        <v>377</v>
      </c>
      <c r="G98" s="26" t="s">
        <v>378</v>
      </c>
    </row>
    <row r="99" customFormat="false" ht="39.75" hidden="false" customHeight="true" outlineLevel="0" collapsed="false">
      <c r="A99" s="24" t="s">
        <v>366</v>
      </c>
      <c r="B99" s="24" t="s">
        <v>278</v>
      </c>
      <c r="C99" s="24" t="s">
        <v>367</v>
      </c>
      <c r="D99" s="24" t="s">
        <v>195</v>
      </c>
      <c r="E99" s="29" t="s">
        <v>196</v>
      </c>
      <c r="F99" s="26" t="s">
        <v>379</v>
      </c>
      <c r="G99" s="26" t="s">
        <v>380</v>
      </c>
    </row>
    <row r="100" customFormat="false" ht="39.75" hidden="false" customHeight="true" outlineLevel="0" collapsed="false">
      <c r="A100" s="24" t="s">
        <v>381</v>
      </c>
      <c r="B100" s="24" t="s">
        <v>169</v>
      </c>
      <c r="C100" s="24" t="s">
        <v>382</v>
      </c>
      <c r="D100" s="24" t="s">
        <v>171</v>
      </c>
      <c r="E100" s="25" t="s">
        <v>172</v>
      </c>
      <c r="F100" s="26" t="s">
        <v>383</v>
      </c>
      <c r="G100" s="26" t="s">
        <v>384</v>
      </c>
    </row>
    <row r="101" customFormat="false" ht="55.5" hidden="false" customHeight="true" outlineLevel="0" collapsed="false">
      <c r="A101" s="24" t="s">
        <v>381</v>
      </c>
      <c r="B101" s="24" t="s">
        <v>169</v>
      </c>
      <c r="C101" s="24" t="s">
        <v>382</v>
      </c>
      <c r="D101" s="24" t="s">
        <v>175</v>
      </c>
      <c r="E101" s="27" t="s">
        <v>176</v>
      </c>
      <c r="F101" s="26" t="s">
        <v>385</v>
      </c>
      <c r="G101" s="26" t="s">
        <v>386</v>
      </c>
    </row>
    <row r="102" customFormat="false" ht="39.75" hidden="false" customHeight="true" outlineLevel="0" collapsed="false">
      <c r="A102" s="24" t="s">
        <v>381</v>
      </c>
      <c r="B102" s="24" t="s">
        <v>169</v>
      </c>
      <c r="C102" s="24" t="s">
        <v>382</v>
      </c>
      <c r="D102" s="24" t="s">
        <v>179</v>
      </c>
      <c r="E102" s="28" t="s">
        <v>180</v>
      </c>
      <c r="F102" s="26" t="s">
        <v>387</v>
      </c>
      <c r="G102" s="26" t="s">
        <v>388</v>
      </c>
    </row>
    <row r="103" customFormat="false" ht="39.75" hidden="false" customHeight="true" outlineLevel="0" collapsed="false">
      <c r="A103" s="24" t="s">
        <v>381</v>
      </c>
      <c r="B103" s="24" t="s">
        <v>169</v>
      </c>
      <c r="C103" s="24" t="s">
        <v>382</v>
      </c>
      <c r="D103" s="24" t="s">
        <v>183</v>
      </c>
      <c r="E103" s="29" t="s">
        <v>184</v>
      </c>
      <c r="F103" s="26" t="s">
        <v>312</v>
      </c>
      <c r="G103" s="26" t="s">
        <v>313</v>
      </c>
    </row>
    <row r="104" customFormat="false" ht="139.5" hidden="false" customHeight="true" outlineLevel="0" collapsed="false">
      <c r="A104" s="24" t="s">
        <v>381</v>
      </c>
      <c r="B104" s="24" t="s">
        <v>169</v>
      </c>
      <c r="C104" s="24" t="s">
        <v>382</v>
      </c>
      <c r="D104" s="24" t="s">
        <v>187</v>
      </c>
      <c r="E104" s="30" t="s">
        <v>188</v>
      </c>
      <c r="F104" s="26" t="s">
        <v>189</v>
      </c>
      <c r="G104" s="26" t="s">
        <v>389</v>
      </c>
    </row>
    <row r="105" customFormat="false" ht="39.75" hidden="false" customHeight="true" outlineLevel="0" collapsed="false">
      <c r="A105" s="24" t="s">
        <v>381</v>
      </c>
      <c r="B105" s="24" t="s">
        <v>169</v>
      </c>
      <c r="C105" s="24" t="s">
        <v>382</v>
      </c>
      <c r="D105" s="24" t="s">
        <v>191</v>
      </c>
      <c r="E105" s="31" t="s">
        <v>192</v>
      </c>
      <c r="F105" s="26" t="s">
        <v>390</v>
      </c>
      <c r="G105" s="26" t="s">
        <v>391</v>
      </c>
    </row>
    <row r="106" customFormat="false" ht="39.75" hidden="false" customHeight="true" outlineLevel="0" collapsed="false">
      <c r="A106" s="24" t="s">
        <v>381</v>
      </c>
      <c r="B106" s="24" t="s">
        <v>169</v>
      </c>
      <c r="C106" s="24" t="s">
        <v>382</v>
      </c>
      <c r="D106" s="24" t="s">
        <v>195</v>
      </c>
      <c r="E106" s="29" t="s">
        <v>196</v>
      </c>
      <c r="F106" s="26" t="s">
        <v>229</v>
      </c>
      <c r="G106" s="26" t="s">
        <v>230</v>
      </c>
    </row>
    <row r="107" customFormat="false" ht="39.75" hidden="false" customHeight="true" outlineLevel="0" collapsed="false">
      <c r="A107" s="32" t="s">
        <v>392</v>
      </c>
      <c r="B107" s="32" t="s">
        <v>200</v>
      </c>
      <c r="C107" s="32" t="s">
        <v>393</v>
      </c>
      <c r="D107" s="24" t="s">
        <v>171</v>
      </c>
      <c r="E107" s="25" t="s">
        <v>172</v>
      </c>
      <c r="F107" s="26" t="s">
        <v>394</v>
      </c>
      <c r="G107" s="26" t="s">
        <v>395</v>
      </c>
    </row>
    <row r="108" customFormat="false" ht="42" hidden="false" customHeight="true" outlineLevel="0" collapsed="false">
      <c r="A108" s="24" t="s">
        <v>392</v>
      </c>
      <c r="B108" s="24" t="s">
        <v>200</v>
      </c>
      <c r="C108" s="24" t="s">
        <v>393</v>
      </c>
      <c r="D108" s="24" t="s">
        <v>175</v>
      </c>
      <c r="E108" s="27" t="s">
        <v>176</v>
      </c>
      <c r="F108" s="26" t="s">
        <v>396</v>
      </c>
      <c r="G108" s="26" t="s">
        <v>397</v>
      </c>
    </row>
    <row r="109" customFormat="false" ht="39.75" hidden="false" customHeight="true" outlineLevel="0" collapsed="false">
      <c r="A109" s="24" t="s">
        <v>392</v>
      </c>
      <c r="B109" s="24" t="s">
        <v>200</v>
      </c>
      <c r="C109" s="24" t="s">
        <v>393</v>
      </c>
      <c r="D109" s="24" t="s">
        <v>179</v>
      </c>
      <c r="E109" s="28" t="s">
        <v>180</v>
      </c>
      <c r="F109" s="26" t="s">
        <v>398</v>
      </c>
      <c r="G109" s="26" t="s">
        <v>399</v>
      </c>
    </row>
    <row r="110" customFormat="false" ht="39.75" hidden="false" customHeight="true" outlineLevel="0" collapsed="false">
      <c r="A110" s="24" t="s">
        <v>392</v>
      </c>
      <c r="B110" s="24" t="s">
        <v>200</v>
      </c>
      <c r="C110" s="24" t="s">
        <v>393</v>
      </c>
      <c r="D110" s="24" t="s">
        <v>183</v>
      </c>
      <c r="E110" s="29" t="s">
        <v>184</v>
      </c>
      <c r="F110" s="26" t="s">
        <v>400</v>
      </c>
      <c r="G110" s="26" t="s">
        <v>401</v>
      </c>
    </row>
    <row r="111" customFormat="false" ht="139.5" hidden="false" customHeight="true" outlineLevel="0" collapsed="false">
      <c r="A111" s="24" t="s">
        <v>392</v>
      </c>
      <c r="B111" s="24" t="s">
        <v>200</v>
      </c>
      <c r="C111" s="24" t="s">
        <v>393</v>
      </c>
      <c r="D111" s="24" t="s">
        <v>187</v>
      </c>
      <c r="E111" s="30" t="s">
        <v>188</v>
      </c>
      <c r="F111" s="26" t="s">
        <v>189</v>
      </c>
      <c r="G111" s="26" t="s">
        <v>402</v>
      </c>
    </row>
    <row r="112" customFormat="false" ht="39.75" hidden="false" customHeight="true" outlineLevel="0" collapsed="false">
      <c r="A112" s="24" t="s">
        <v>392</v>
      </c>
      <c r="B112" s="24" t="s">
        <v>200</v>
      </c>
      <c r="C112" s="24" t="s">
        <v>393</v>
      </c>
      <c r="D112" s="24" t="s">
        <v>191</v>
      </c>
      <c r="E112" s="31" t="s">
        <v>192</v>
      </c>
      <c r="F112" s="26" t="s">
        <v>403</v>
      </c>
      <c r="G112" s="26" t="s">
        <v>404</v>
      </c>
    </row>
    <row r="113" customFormat="false" ht="39.75" hidden="false" customHeight="true" outlineLevel="0" collapsed="false">
      <c r="A113" s="24" t="s">
        <v>392</v>
      </c>
      <c r="B113" s="24" t="s">
        <v>200</v>
      </c>
      <c r="C113" s="24" t="s">
        <v>393</v>
      </c>
      <c r="D113" s="24" t="s">
        <v>195</v>
      </c>
      <c r="E113" s="29" t="s">
        <v>196</v>
      </c>
      <c r="F113" s="26" t="s">
        <v>405</v>
      </c>
      <c r="G113" s="26" t="s">
        <v>406</v>
      </c>
    </row>
    <row r="114" customFormat="false" ht="39.75" hidden="false" customHeight="true" outlineLevel="0" collapsed="false">
      <c r="A114" s="24" t="s">
        <v>407</v>
      </c>
      <c r="B114" s="24" t="s">
        <v>216</v>
      </c>
      <c r="C114" s="24" t="s">
        <v>408</v>
      </c>
      <c r="D114" s="24" t="s">
        <v>171</v>
      </c>
      <c r="E114" s="25" t="s">
        <v>172</v>
      </c>
      <c r="F114" s="26" t="s">
        <v>409</v>
      </c>
      <c r="G114" s="26" t="s">
        <v>410</v>
      </c>
    </row>
    <row r="115" customFormat="false" ht="42" hidden="false" customHeight="true" outlineLevel="0" collapsed="false">
      <c r="A115" s="24" t="s">
        <v>407</v>
      </c>
      <c r="B115" s="24" t="s">
        <v>216</v>
      </c>
      <c r="C115" s="24" t="s">
        <v>408</v>
      </c>
      <c r="D115" s="24" t="s">
        <v>175</v>
      </c>
      <c r="E115" s="27" t="s">
        <v>176</v>
      </c>
      <c r="F115" s="26" t="s">
        <v>411</v>
      </c>
      <c r="G115" s="26" t="s">
        <v>412</v>
      </c>
    </row>
    <row r="116" customFormat="false" ht="39.75" hidden="false" customHeight="true" outlineLevel="0" collapsed="false">
      <c r="A116" s="24" t="s">
        <v>407</v>
      </c>
      <c r="B116" s="24" t="s">
        <v>216</v>
      </c>
      <c r="C116" s="24" t="s">
        <v>408</v>
      </c>
      <c r="D116" s="24" t="s">
        <v>179</v>
      </c>
      <c r="E116" s="28" t="s">
        <v>180</v>
      </c>
      <c r="F116" s="26" t="s">
        <v>413</v>
      </c>
      <c r="G116" s="26" t="s">
        <v>414</v>
      </c>
    </row>
    <row r="117" customFormat="false" ht="39.75" hidden="false" customHeight="true" outlineLevel="0" collapsed="false">
      <c r="A117" s="24" t="s">
        <v>407</v>
      </c>
      <c r="B117" s="24" t="s">
        <v>216</v>
      </c>
      <c r="C117" s="24" t="s">
        <v>408</v>
      </c>
      <c r="D117" s="24" t="s">
        <v>183</v>
      </c>
      <c r="E117" s="29" t="s">
        <v>184</v>
      </c>
      <c r="F117" s="26" t="s">
        <v>415</v>
      </c>
      <c r="G117" s="26" t="s">
        <v>416</v>
      </c>
    </row>
    <row r="118" customFormat="false" ht="139.5" hidden="false" customHeight="true" outlineLevel="0" collapsed="false">
      <c r="A118" s="24" t="s">
        <v>407</v>
      </c>
      <c r="B118" s="24" t="s">
        <v>216</v>
      </c>
      <c r="C118" s="24" t="s">
        <v>408</v>
      </c>
      <c r="D118" s="24" t="s">
        <v>187</v>
      </c>
      <c r="E118" s="30" t="s">
        <v>188</v>
      </c>
      <c r="F118" s="26" t="s">
        <v>189</v>
      </c>
      <c r="G118" s="26" t="s">
        <v>417</v>
      </c>
    </row>
    <row r="119" customFormat="false" ht="39.75" hidden="false" customHeight="true" outlineLevel="0" collapsed="false">
      <c r="A119" s="24" t="s">
        <v>407</v>
      </c>
      <c r="B119" s="24" t="s">
        <v>216</v>
      </c>
      <c r="C119" s="24" t="s">
        <v>408</v>
      </c>
      <c r="D119" s="24" t="s">
        <v>191</v>
      </c>
      <c r="E119" s="31" t="s">
        <v>192</v>
      </c>
      <c r="F119" s="26" t="s">
        <v>418</v>
      </c>
      <c r="G119" s="26" t="s">
        <v>419</v>
      </c>
    </row>
    <row r="120" customFormat="false" ht="39.75" hidden="false" customHeight="true" outlineLevel="0" collapsed="false">
      <c r="A120" s="24" t="s">
        <v>407</v>
      </c>
      <c r="B120" s="24" t="s">
        <v>216</v>
      </c>
      <c r="C120" s="24" t="s">
        <v>408</v>
      </c>
      <c r="D120" s="24" t="s">
        <v>195</v>
      </c>
      <c r="E120" s="29" t="s">
        <v>196</v>
      </c>
      <c r="F120" s="26" t="s">
        <v>197</v>
      </c>
      <c r="G120" s="26" t="s">
        <v>198</v>
      </c>
    </row>
    <row r="121" customFormat="false" ht="39.75" hidden="false" customHeight="true" outlineLevel="0" collapsed="false">
      <c r="A121" s="24" t="s">
        <v>420</v>
      </c>
      <c r="B121" s="24" t="s">
        <v>232</v>
      </c>
      <c r="C121" s="24" t="s">
        <v>421</v>
      </c>
      <c r="D121" s="24" t="s">
        <v>171</v>
      </c>
      <c r="E121" s="25" t="s">
        <v>172</v>
      </c>
      <c r="F121" s="26" t="s">
        <v>422</v>
      </c>
      <c r="G121" s="26" t="s">
        <v>423</v>
      </c>
    </row>
    <row r="122" customFormat="false" ht="42" hidden="false" customHeight="true" outlineLevel="0" collapsed="false">
      <c r="A122" s="24" t="s">
        <v>420</v>
      </c>
      <c r="B122" s="24" t="s">
        <v>232</v>
      </c>
      <c r="C122" s="24" t="s">
        <v>421</v>
      </c>
      <c r="D122" s="24" t="s">
        <v>175</v>
      </c>
      <c r="E122" s="27" t="s">
        <v>176</v>
      </c>
      <c r="F122" s="26" t="s">
        <v>424</v>
      </c>
      <c r="G122" s="26" t="s">
        <v>425</v>
      </c>
    </row>
    <row r="123" customFormat="false" ht="39.75" hidden="false" customHeight="true" outlineLevel="0" collapsed="false">
      <c r="A123" s="24" t="s">
        <v>420</v>
      </c>
      <c r="B123" s="24" t="s">
        <v>232</v>
      </c>
      <c r="C123" s="24" t="s">
        <v>421</v>
      </c>
      <c r="D123" s="24" t="s">
        <v>179</v>
      </c>
      <c r="E123" s="28" t="s">
        <v>180</v>
      </c>
      <c r="F123" s="26" t="s">
        <v>426</v>
      </c>
      <c r="G123" s="26" t="s">
        <v>427</v>
      </c>
    </row>
    <row r="124" customFormat="false" ht="39.75" hidden="false" customHeight="true" outlineLevel="0" collapsed="false">
      <c r="A124" s="24" t="s">
        <v>420</v>
      </c>
      <c r="B124" s="24" t="s">
        <v>232</v>
      </c>
      <c r="C124" s="24" t="s">
        <v>421</v>
      </c>
      <c r="D124" s="24" t="s">
        <v>183</v>
      </c>
      <c r="E124" s="29" t="s">
        <v>184</v>
      </c>
      <c r="F124" s="26" t="s">
        <v>270</v>
      </c>
      <c r="G124" s="26" t="s">
        <v>271</v>
      </c>
    </row>
    <row r="125" customFormat="false" ht="139.5" hidden="false" customHeight="true" outlineLevel="0" collapsed="false">
      <c r="A125" s="24" t="s">
        <v>420</v>
      </c>
      <c r="B125" s="24" t="s">
        <v>232</v>
      </c>
      <c r="C125" s="24" t="s">
        <v>421</v>
      </c>
      <c r="D125" s="24" t="s">
        <v>187</v>
      </c>
      <c r="E125" s="30" t="s">
        <v>188</v>
      </c>
      <c r="F125" s="26" t="s">
        <v>189</v>
      </c>
      <c r="G125" s="26" t="s">
        <v>428</v>
      </c>
    </row>
    <row r="126" customFormat="false" ht="39.75" hidden="false" customHeight="true" outlineLevel="0" collapsed="false">
      <c r="A126" s="24" t="s">
        <v>420</v>
      </c>
      <c r="B126" s="24" t="s">
        <v>232</v>
      </c>
      <c r="C126" s="24" t="s">
        <v>421</v>
      </c>
      <c r="D126" s="24" t="s">
        <v>191</v>
      </c>
      <c r="E126" s="31" t="s">
        <v>192</v>
      </c>
      <c r="F126" s="26" t="s">
        <v>429</v>
      </c>
      <c r="G126" s="26" t="s">
        <v>430</v>
      </c>
    </row>
    <row r="127" customFormat="false" ht="39.75" hidden="false" customHeight="true" outlineLevel="0" collapsed="false">
      <c r="A127" s="24" t="s">
        <v>420</v>
      </c>
      <c r="B127" s="24" t="s">
        <v>232</v>
      </c>
      <c r="C127" s="24" t="s">
        <v>421</v>
      </c>
      <c r="D127" s="24" t="s">
        <v>195</v>
      </c>
      <c r="E127" s="29" t="s">
        <v>196</v>
      </c>
      <c r="F127" s="26" t="s">
        <v>275</v>
      </c>
      <c r="G127" s="26" t="s">
        <v>276</v>
      </c>
    </row>
    <row r="128" customFormat="false" ht="39.75" hidden="false" customHeight="true" outlineLevel="0" collapsed="false">
      <c r="A128" s="24" t="s">
        <v>431</v>
      </c>
      <c r="B128" s="24" t="s">
        <v>248</v>
      </c>
      <c r="C128" s="24" t="s">
        <v>432</v>
      </c>
      <c r="D128" s="24" t="s">
        <v>171</v>
      </c>
      <c r="E128" s="25" t="s">
        <v>172</v>
      </c>
      <c r="F128" s="26" t="s">
        <v>433</v>
      </c>
      <c r="G128" s="26" t="s">
        <v>434</v>
      </c>
    </row>
    <row r="129" customFormat="false" ht="55.5" hidden="false" customHeight="true" outlineLevel="0" collapsed="false">
      <c r="A129" s="24" t="s">
        <v>431</v>
      </c>
      <c r="B129" s="24" t="s">
        <v>248</v>
      </c>
      <c r="C129" s="24" t="s">
        <v>432</v>
      </c>
      <c r="D129" s="24" t="s">
        <v>175</v>
      </c>
      <c r="E129" s="27" t="s">
        <v>176</v>
      </c>
      <c r="F129" s="26" t="s">
        <v>435</v>
      </c>
      <c r="G129" s="26" t="s">
        <v>436</v>
      </c>
    </row>
    <row r="130" customFormat="false" ht="39.75" hidden="false" customHeight="true" outlineLevel="0" collapsed="false">
      <c r="A130" s="24" t="s">
        <v>431</v>
      </c>
      <c r="B130" s="24" t="s">
        <v>248</v>
      </c>
      <c r="C130" s="24" t="s">
        <v>432</v>
      </c>
      <c r="D130" s="24" t="s">
        <v>179</v>
      </c>
      <c r="E130" s="28" t="s">
        <v>180</v>
      </c>
      <c r="F130" s="26" t="s">
        <v>437</v>
      </c>
      <c r="G130" s="26" t="s">
        <v>438</v>
      </c>
    </row>
    <row r="131" customFormat="false" ht="39.75" hidden="false" customHeight="true" outlineLevel="0" collapsed="false">
      <c r="A131" s="24" t="s">
        <v>431</v>
      </c>
      <c r="B131" s="24" t="s">
        <v>248</v>
      </c>
      <c r="C131" s="24" t="s">
        <v>432</v>
      </c>
      <c r="D131" s="24" t="s">
        <v>183</v>
      </c>
      <c r="E131" s="29" t="s">
        <v>184</v>
      </c>
      <c r="F131" s="26" t="s">
        <v>185</v>
      </c>
      <c r="G131" s="26" t="s">
        <v>186</v>
      </c>
    </row>
    <row r="132" customFormat="false" ht="139.5" hidden="false" customHeight="true" outlineLevel="0" collapsed="false">
      <c r="A132" s="24" t="s">
        <v>431</v>
      </c>
      <c r="B132" s="24" t="s">
        <v>248</v>
      </c>
      <c r="C132" s="24" t="s">
        <v>432</v>
      </c>
      <c r="D132" s="24" t="s">
        <v>187</v>
      </c>
      <c r="E132" s="30" t="s">
        <v>188</v>
      </c>
      <c r="F132" s="26" t="s">
        <v>189</v>
      </c>
      <c r="G132" s="26" t="s">
        <v>439</v>
      </c>
    </row>
    <row r="133" customFormat="false" ht="39.75" hidden="false" customHeight="true" outlineLevel="0" collapsed="false">
      <c r="A133" s="24" t="s">
        <v>431</v>
      </c>
      <c r="B133" s="24" t="s">
        <v>248</v>
      </c>
      <c r="C133" s="24" t="s">
        <v>432</v>
      </c>
      <c r="D133" s="24" t="s">
        <v>191</v>
      </c>
      <c r="E133" s="31" t="s">
        <v>192</v>
      </c>
      <c r="F133" s="26" t="s">
        <v>440</v>
      </c>
      <c r="G133" s="26" t="s">
        <v>441</v>
      </c>
    </row>
    <row r="134" customFormat="false" ht="39.75" hidden="false" customHeight="true" outlineLevel="0" collapsed="false">
      <c r="A134" s="24" t="s">
        <v>431</v>
      </c>
      <c r="B134" s="24" t="s">
        <v>248</v>
      </c>
      <c r="C134" s="24" t="s">
        <v>432</v>
      </c>
      <c r="D134" s="24" t="s">
        <v>195</v>
      </c>
      <c r="E134" s="29" t="s">
        <v>196</v>
      </c>
      <c r="F134" s="26" t="s">
        <v>229</v>
      </c>
      <c r="G134" s="26" t="s">
        <v>230</v>
      </c>
    </row>
    <row r="135" customFormat="false" ht="39.75" hidden="false" customHeight="true" outlineLevel="0" collapsed="false">
      <c r="A135" s="24" t="s">
        <v>442</v>
      </c>
      <c r="B135" s="24" t="s">
        <v>262</v>
      </c>
      <c r="C135" s="24" t="s">
        <v>443</v>
      </c>
      <c r="D135" s="24" t="s">
        <v>171</v>
      </c>
      <c r="E135" s="25" t="s">
        <v>172</v>
      </c>
      <c r="F135" s="26" t="s">
        <v>444</v>
      </c>
      <c r="G135" s="26" t="s">
        <v>445</v>
      </c>
    </row>
    <row r="136" customFormat="false" ht="55.5" hidden="false" customHeight="true" outlineLevel="0" collapsed="false">
      <c r="A136" s="24" t="s">
        <v>442</v>
      </c>
      <c r="B136" s="24" t="s">
        <v>262</v>
      </c>
      <c r="C136" s="24" t="s">
        <v>443</v>
      </c>
      <c r="D136" s="24" t="s">
        <v>175</v>
      </c>
      <c r="E136" s="27" t="s">
        <v>176</v>
      </c>
      <c r="F136" s="26" t="s">
        <v>446</v>
      </c>
      <c r="G136" s="26" t="s">
        <v>447</v>
      </c>
    </row>
    <row r="137" customFormat="false" ht="39.75" hidden="false" customHeight="true" outlineLevel="0" collapsed="false">
      <c r="A137" s="24" t="s">
        <v>442</v>
      </c>
      <c r="B137" s="24" t="s">
        <v>262</v>
      </c>
      <c r="C137" s="24" t="s">
        <v>443</v>
      </c>
      <c r="D137" s="24" t="s">
        <v>179</v>
      </c>
      <c r="E137" s="28" t="s">
        <v>180</v>
      </c>
      <c r="F137" s="26" t="s">
        <v>448</v>
      </c>
      <c r="G137" s="26" t="s">
        <v>449</v>
      </c>
    </row>
    <row r="138" customFormat="false" ht="39.75" hidden="false" customHeight="true" outlineLevel="0" collapsed="false">
      <c r="A138" s="24" t="s">
        <v>442</v>
      </c>
      <c r="B138" s="24" t="s">
        <v>262</v>
      </c>
      <c r="C138" s="24" t="s">
        <v>443</v>
      </c>
      <c r="D138" s="24" t="s">
        <v>183</v>
      </c>
      <c r="E138" s="29" t="s">
        <v>184</v>
      </c>
      <c r="F138" s="26" t="s">
        <v>374</v>
      </c>
      <c r="G138" s="26" t="s">
        <v>375</v>
      </c>
    </row>
    <row r="139" customFormat="false" ht="153.75" hidden="false" customHeight="true" outlineLevel="0" collapsed="false">
      <c r="A139" s="24" t="s">
        <v>442</v>
      </c>
      <c r="B139" s="24" t="s">
        <v>262</v>
      </c>
      <c r="C139" s="24" t="s">
        <v>443</v>
      </c>
      <c r="D139" s="24" t="s">
        <v>187</v>
      </c>
      <c r="E139" s="30" t="s">
        <v>188</v>
      </c>
      <c r="F139" s="26" t="s">
        <v>189</v>
      </c>
      <c r="G139" s="26" t="s">
        <v>450</v>
      </c>
    </row>
    <row r="140" customFormat="false" ht="39.75" hidden="false" customHeight="true" outlineLevel="0" collapsed="false">
      <c r="A140" s="24" t="s">
        <v>442</v>
      </c>
      <c r="B140" s="24" t="s">
        <v>262</v>
      </c>
      <c r="C140" s="24" t="s">
        <v>443</v>
      </c>
      <c r="D140" s="24" t="s">
        <v>191</v>
      </c>
      <c r="E140" s="31" t="s">
        <v>192</v>
      </c>
      <c r="F140" s="26" t="s">
        <v>451</v>
      </c>
      <c r="G140" s="26" t="s">
        <v>452</v>
      </c>
    </row>
    <row r="141" customFormat="false" ht="39.75" hidden="false" customHeight="true" outlineLevel="0" collapsed="false">
      <c r="A141" s="24" t="s">
        <v>442</v>
      </c>
      <c r="B141" s="24" t="s">
        <v>262</v>
      </c>
      <c r="C141" s="24" t="s">
        <v>443</v>
      </c>
      <c r="D141" s="24" t="s">
        <v>195</v>
      </c>
      <c r="E141" s="29" t="s">
        <v>196</v>
      </c>
      <c r="F141" s="26" t="s">
        <v>453</v>
      </c>
      <c r="G141" s="26" t="s">
        <v>454</v>
      </c>
    </row>
    <row r="142" customFormat="false" ht="39.75" hidden="false" customHeight="true" outlineLevel="0" collapsed="false">
      <c r="A142" s="33" t="s">
        <v>455</v>
      </c>
      <c r="B142" s="33" t="s">
        <v>278</v>
      </c>
      <c r="C142" s="33" t="s">
        <v>456</v>
      </c>
      <c r="D142" s="24" t="s">
        <v>171</v>
      </c>
      <c r="E142" s="25" t="s">
        <v>172</v>
      </c>
      <c r="F142" s="26" t="s">
        <v>457</v>
      </c>
      <c r="G142" s="26" t="s">
        <v>458</v>
      </c>
    </row>
    <row r="143" customFormat="false" ht="55.5" hidden="false" customHeight="true" outlineLevel="0" collapsed="false">
      <c r="A143" s="24" t="s">
        <v>455</v>
      </c>
      <c r="B143" s="24" t="s">
        <v>278</v>
      </c>
      <c r="C143" s="24" t="s">
        <v>456</v>
      </c>
      <c r="D143" s="24" t="s">
        <v>175</v>
      </c>
      <c r="E143" s="27" t="s">
        <v>176</v>
      </c>
      <c r="F143" s="26" t="s">
        <v>459</v>
      </c>
      <c r="G143" s="26" t="s">
        <v>460</v>
      </c>
    </row>
    <row r="144" customFormat="false" ht="39.75" hidden="false" customHeight="true" outlineLevel="0" collapsed="false">
      <c r="A144" s="24" t="s">
        <v>455</v>
      </c>
      <c r="B144" s="24" t="s">
        <v>278</v>
      </c>
      <c r="C144" s="24" t="s">
        <v>456</v>
      </c>
      <c r="D144" s="24" t="s">
        <v>179</v>
      </c>
      <c r="E144" s="28" t="s">
        <v>180</v>
      </c>
      <c r="F144" s="26" t="s">
        <v>461</v>
      </c>
      <c r="G144" s="26" t="s">
        <v>462</v>
      </c>
    </row>
    <row r="145" customFormat="false" ht="39.75" hidden="false" customHeight="true" outlineLevel="0" collapsed="false">
      <c r="A145" s="24" t="s">
        <v>455</v>
      </c>
      <c r="B145" s="24" t="s">
        <v>278</v>
      </c>
      <c r="C145" s="24" t="s">
        <v>456</v>
      </c>
      <c r="D145" s="24" t="s">
        <v>183</v>
      </c>
      <c r="E145" s="29" t="s">
        <v>184</v>
      </c>
      <c r="F145" s="26" t="s">
        <v>463</v>
      </c>
      <c r="G145" s="26" t="s">
        <v>464</v>
      </c>
    </row>
    <row r="146" customFormat="false" ht="139.5" hidden="false" customHeight="true" outlineLevel="0" collapsed="false">
      <c r="A146" s="24" t="s">
        <v>455</v>
      </c>
      <c r="B146" s="24" t="s">
        <v>278</v>
      </c>
      <c r="C146" s="24" t="s">
        <v>456</v>
      </c>
      <c r="D146" s="24" t="s">
        <v>187</v>
      </c>
      <c r="E146" s="30" t="s">
        <v>188</v>
      </c>
      <c r="F146" s="26" t="s">
        <v>189</v>
      </c>
      <c r="G146" s="26" t="s">
        <v>465</v>
      </c>
    </row>
    <row r="147" customFormat="false" ht="39.75" hidden="false" customHeight="true" outlineLevel="0" collapsed="false">
      <c r="A147" s="24" t="s">
        <v>455</v>
      </c>
      <c r="B147" s="24" t="s">
        <v>278</v>
      </c>
      <c r="C147" s="24" t="s">
        <v>456</v>
      </c>
      <c r="D147" s="24" t="s">
        <v>191</v>
      </c>
      <c r="E147" s="31" t="s">
        <v>192</v>
      </c>
      <c r="F147" s="26" t="s">
        <v>466</v>
      </c>
      <c r="G147" s="26" t="s">
        <v>467</v>
      </c>
    </row>
    <row r="148" customFormat="false" ht="39.75" hidden="false" customHeight="true" outlineLevel="0" collapsed="false">
      <c r="A148" s="24" t="s">
        <v>455</v>
      </c>
      <c r="B148" s="24" t="s">
        <v>278</v>
      </c>
      <c r="C148" s="24" t="s">
        <v>456</v>
      </c>
      <c r="D148" s="24" t="s">
        <v>195</v>
      </c>
      <c r="E148" s="29" t="s">
        <v>196</v>
      </c>
      <c r="F148" s="26" t="s">
        <v>468</v>
      </c>
      <c r="G148" s="26" t="s">
        <v>469</v>
      </c>
    </row>
    <row r="149" customFormat="false" ht="39.75" hidden="false" customHeight="true" outlineLevel="0" collapsed="false">
      <c r="A149" s="24" t="s">
        <v>470</v>
      </c>
      <c r="B149" s="24" t="s">
        <v>169</v>
      </c>
      <c r="C149" s="24" t="s">
        <v>471</v>
      </c>
      <c r="D149" s="24" t="s">
        <v>171</v>
      </c>
      <c r="E149" s="25" t="s">
        <v>172</v>
      </c>
      <c r="F149" s="26" t="s">
        <v>472</v>
      </c>
      <c r="G149" s="26" t="s">
        <v>473</v>
      </c>
    </row>
    <row r="150" customFormat="false" ht="55.5" hidden="false" customHeight="true" outlineLevel="0" collapsed="false">
      <c r="A150" s="24" t="s">
        <v>470</v>
      </c>
      <c r="B150" s="24" t="s">
        <v>169</v>
      </c>
      <c r="C150" s="24" t="s">
        <v>471</v>
      </c>
      <c r="D150" s="24" t="s">
        <v>175</v>
      </c>
      <c r="E150" s="27" t="s">
        <v>176</v>
      </c>
      <c r="F150" s="26" t="s">
        <v>474</v>
      </c>
      <c r="G150" s="26" t="s">
        <v>475</v>
      </c>
    </row>
    <row r="151" customFormat="false" ht="39.75" hidden="false" customHeight="true" outlineLevel="0" collapsed="false">
      <c r="A151" s="24" t="s">
        <v>470</v>
      </c>
      <c r="B151" s="24" t="s">
        <v>169</v>
      </c>
      <c r="C151" s="24" t="s">
        <v>471</v>
      </c>
      <c r="D151" s="24" t="s">
        <v>179</v>
      </c>
      <c r="E151" s="28" t="s">
        <v>180</v>
      </c>
      <c r="F151" s="26" t="s">
        <v>476</v>
      </c>
      <c r="G151" s="26" t="s">
        <v>477</v>
      </c>
    </row>
    <row r="152" customFormat="false" ht="39.75" hidden="false" customHeight="true" outlineLevel="0" collapsed="false">
      <c r="A152" s="24" t="s">
        <v>470</v>
      </c>
      <c r="B152" s="24" t="s">
        <v>169</v>
      </c>
      <c r="C152" s="24" t="s">
        <v>471</v>
      </c>
      <c r="D152" s="24" t="s">
        <v>183</v>
      </c>
      <c r="E152" s="29" t="s">
        <v>184</v>
      </c>
      <c r="F152" s="26" t="s">
        <v>240</v>
      </c>
      <c r="G152" s="26" t="s">
        <v>241</v>
      </c>
    </row>
    <row r="153" customFormat="false" ht="139.5" hidden="false" customHeight="true" outlineLevel="0" collapsed="false">
      <c r="A153" s="24" t="s">
        <v>470</v>
      </c>
      <c r="B153" s="24" t="s">
        <v>169</v>
      </c>
      <c r="C153" s="24" t="s">
        <v>471</v>
      </c>
      <c r="D153" s="24" t="s">
        <v>187</v>
      </c>
      <c r="E153" s="30" t="s">
        <v>188</v>
      </c>
      <c r="F153" s="26" t="s">
        <v>189</v>
      </c>
      <c r="G153" s="26" t="s">
        <v>478</v>
      </c>
    </row>
    <row r="154" customFormat="false" ht="39.75" hidden="false" customHeight="true" outlineLevel="0" collapsed="false">
      <c r="A154" s="24" t="s">
        <v>470</v>
      </c>
      <c r="B154" s="24" t="s">
        <v>169</v>
      </c>
      <c r="C154" s="24" t="s">
        <v>471</v>
      </c>
      <c r="D154" s="24" t="s">
        <v>191</v>
      </c>
      <c r="E154" s="31" t="s">
        <v>192</v>
      </c>
      <c r="F154" s="26" t="s">
        <v>479</v>
      </c>
      <c r="G154" s="26" t="s">
        <v>480</v>
      </c>
    </row>
    <row r="155" customFormat="false" ht="39.75" hidden="false" customHeight="true" outlineLevel="0" collapsed="false">
      <c r="A155" s="24" t="s">
        <v>470</v>
      </c>
      <c r="B155" s="24" t="s">
        <v>169</v>
      </c>
      <c r="C155" s="24" t="s">
        <v>471</v>
      </c>
      <c r="D155" s="24" t="s">
        <v>195</v>
      </c>
      <c r="E155" s="29" t="s">
        <v>196</v>
      </c>
      <c r="F155" s="26" t="s">
        <v>275</v>
      </c>
      <c r="G155" s="26" t="s">
        <v>276</v>
      </c>
    </row>
    <row r="156" customFormat="false" ht="39.75" hidden="false" customHeight="true" outlineLevel="0" collapsed="false">
      <c r="A156" s="24" t="s">
        <v>481</v>
      </c>
      <c r="B156" s="24" t="s">
        <v>200</v>
      </c>
      <c r="C156" s="24" t="s">
        <v>482</v>
      </c>
      <c r="D156" s="24" t="s">
        <v>171</v>
      </c>
      <c r="E156" s="25" t="s">
        <v>172</v>
      </c>
      <c r="F156" s="26" t="s">
        <v>483</v>
      </c>
      <c r="G156" s="26" t="s">
        <v>484</v>
      </c>
    </row>
    <row r="157" customFormat="false" ht="42" hidden="false" customHeight="true" outlineLevel="0" collapsed="false">
      <c r="A157" s="24" t="s">
        <v>481</v>
      </c>
      <c r="B157" s="24" t="s">
        <v>200</v>
      </c>
      <c r="C157" s="24" t="s">
        <v>482</v>
      </c>
      <c r="D157" s="24" t="s">
        <v>175</v>
      </c>
      <c r="E157" s="27" t="s">
        <v>176</v>
      </c>
      <c r="F157" s="26" t="s">
        <v>485</v>
      </c>
      <c r="G157" s="26" t="s">
        <v>486</v>
      </c>
    </row>
    <row r="158" customFormat="false" ht="39.75" hidden="false" customHeight="true" outlineLevel="0" collapsed="false">
      <c r="A158" s="24" t="s">
        <v>481</v>
      </c>
      <c r="B158" s="24" t="s">
        <v>200</v>
      </c>
      <c r="C158" s="24" t="s">
        <v>482</v>
      </c>
      <c r="D158" s="24" t="s">
        <v>179</v>
      </c>
      <c r="E158" s="28" t="s">
        <v>180</v>
      </c>
      <c r="F158" s="26" t="s">
        <v>487</v>
      </c>
      <c r="G158" s="26" t="s">
        <v>488</v>
      </c>
    </row>
    <row r="159" customFormat="false" ht="39.75" hidden="false" customHeight="true" outlineLevel="0" collapsed="false">
      <c r="A159" s="24" t="s">
        <v>481</v>
      </c>
      <c r="B159" s="24" t="s">
        <v>200</v>
      </c>
      <c r="C159" s="24" t="s">
        <v>482</v>
      </c>
      <c r="D159" s="24" t="s">
        <v>183</v>
      </c>
      <c r="E159" s="29" t="s">
        <v>184</v>
      </c>
      <c r="F159" s="26" t="s">
        <v>256</v>
      </c>
      <c r="G159" s="26" t="s">
        <v>257</v>
      </c>
    </row>
    <row r="160" customFormat="false" ht="139.5" hidden="false" customHeight="true" outlineLevel="0" collapsed="false">
      <c r="A160" s="24" t="s">
        <v>481</v>
      </c>
      <c r="B160" s="24" t="s">
        <v>200</v>
      </c>
      <c r="C160" s="24" t="s">
        <v>482</v>
      </c>
      <c r="D160" s="24" t="s">
        <v>187</v>
      </c>
      <c r="E160" s="30" t="s">
        <v>188</v>
      </c>
      <c r="F160" s="26" t="s">
        <v>189</v>
      </c>
      <c r="G160" s="26" t="s">
        <v>489</v>
      </c>
    </row>
    <row r="161" customFormat="false" ht="39.75" hidden="false" customHeight="true" outlineLevel="0" collapsed="false">
      <c r="A161" s="24" t="s">
        <v>481</v>
      </c>
      <c r="B161" s="24" t="s">
        <v>200</v>
      </c>
      <c r="C161" s="24" t="s">
        <v>482</v>
      </c>
      <c r="D161" s="24" t="s">
        <v>191</v>
      </c>
      <c r="E161" s="31" t="s">
        <v>192</v>
      </c>
      <c r="F161" s="26" t="s">
        <v>490</v>
      </c>
      <c r="G161" s="26" t="s">
        <v>491</v>
      </c>
    </row>
    <row r="162" customFormat="false" ht="39.75" hidden="false" customHeight="true" outlineLevel="0" collapsed="false">
      <c r="A162" s="24" t="s">
        <v>481</v>
      </c>
      <c r="B162" s="24" t="s">
        <v>200</v>
      </c>
      <c r="C162" s="24" t="s">
        <v>482</v>
      </c>
      <c r="D162" s="24" t="s">
        <v>195</v>
      </c>
      <c r="E162" s="29" t="s">
        <v>196</v>
      </c>
      <c r="F162" s="26" t="s">
        <v>229</v>
      </c>
      <c r="G162" s="26" t="s">
        <v>230</v>
      </c>
    </row>
    <row r="163" customFormat="false" ht="39.75" hidden="false" customHeight="true" outlineLevel="0" collapsed="false">
      <c r="A163" s="24" t="s">
        <v>492</v>
      </c>
      <c r="B163" s="24" t="s">
        <v>216</v>
      </c>
      <c r="C163" s="24" t="s">
        <v>493</v>
      </c>
      <c r="D163" s="24" t="s">
        <v>171</v>
      </c>
      <c r="E163" s="25" t="s">
        <v>172</v>
      </c>
      <c r="F163" s="26" t="s">
        <v>494</v>
      </c>
      <c r="G163" s="26" t="s">
        <v>495</v>
      </c>
    </row>
    <row r="164" customFormat="false" ht="55.5" hidden="false" customHeight="true" outlineLevel="0" collapsed="false">
      <c r="A164" s="24" t="s">
        <v>492</v>
      </c>
      <c r="B164" s="24" t="s">
        <v>216</v>
      </c>
      <c r="C164" s="24" t="s">
        <v>493</v>
      </c>
      <c r="D164" s="24" t="s">
        <v>175</v>
      </c>
      <c r="E164" s="27" t="s">
        <v>176</v>
      </c>
      <c r="F164" s="26" t="s">
        <v>496</v>
      </c>
      <c r="G164" s="26" t="s">
        <v>497</v>
      </c>
    </row>
    <row r="165" customFormat="false" ht="39.75" hidden="false" customHeight="true" outlineLevel="0" collapsed="false">
      <c r="A165" s="24" t="s">
        <v>492</v>
      </c>
      <c r="B165" s="24" t="s">
        <v>216</v>
      </c>
      <c r="C165" s="24" t="s">
        <v>493</v>
      </c>
      <c r="D165" s="24" t="s">
        <v>179</v>
      </c>
      <c r="E165" s="28" t="s">
        <v>180</v>
      </c>
      <c r="F165" s="26" t="s">
        <v>498</v>
      </c>
      <c r="G165" s="26" t="s">
        <v>499</v>
      </c>
    </row>
    <row r="166" customFormat="false" ht="39.75" hidden="false" customHeight="true" outlineLevel="0" collapsed="false">
      <c r="A166" s="24" t="s">
        <v>492</v>
      </c>
      <c r="B166" s="24" t="s">
        <v>216</v>
      </c>
      <c r="C166" s="24" t="s">
        <v>493</v>
      </c>
      <c r="D166" s="24" t="s">
        <v>183</v>
      </c>
      <c r="E166" s="29" t="s">
        <v>184</v>
      </c>
      <c r="F166" s="26" t="s">
        <v>500</v>
      </c>
      <c r="G166" s="26" t="s">
        <v>501</v>
      </c>
    </row>
    <row r="167" customFormat="false" ht="139.5" hidden="false" customHeight="true" outlineLevel="0" collapsed="false">
      <c r="A167" s="24" t="s">
        <v>492</v>
      </c>
      <c r="B167" s="24" t="s">
        <v>216</v>
      </c>
      <c r="C167" s="24" t="s">
        <v>493</v>
      </c>
      <c r="D167" s="24" t="s">
        <v>187</v>
      </c>
      <c r="E167" s="30" t="s">
        <v>188</v>
      </c>
      <c r="F167" s="26" t="s">
        <v>189</v>
      </c>
      <c r="G167" s="26" t="s">
        <v>502</v>
      </c>
    </row>
    <row r="168" customFormat="false" ht="39.75" hidden="false" customHeight="true" outlineLevel="0" collapsed="false">
      <c r="A168" s="24" t="s">
        <v>492</v>
      </c>
      <c r="B168" s="24" t="s">
        <v>216</v>
      </c>
      <c r="C168" s="24" t="s">
        <v>493</v>
      </c>
      <c r="D168" s="24" t="s">
        <v>191</v>
      </c>
      <c r="E168" s="31" t="s">
        <v>192</v>
      </c>
      <c r="F168" s="26" t="s">
        <v>503</v>
      </c>
      <c r="G168" s="26" t="s">
        <v>504</v>
      </c>
    </row>
    <row r="169" customFormat="false" ht="39.75" hidden="false" customHeight="true" outlineLevel="0" collapsed="false">
      <c r="A169" s="24" t="s">
        <v>492</v>
      </c>
      <c r="B169" s="24" t="s">
        <v>216</v>
      </c>
      <c r="C169" s="24" t="s">
        <v>493</v>
      </c>
      <c r="D169" s="24" t="s">
        <v>195</v>
      </c>
      <c r="E169" s="29" t="s">
        <v>196</v>
      </c>
      <c r="F169" s="26" t="s">
        <v>245</v>
      </c>
      <c r="G169" s="26" t="s">
        <v>246</v>
      </c>
    </row>
    <row r="170" customFormat="false" ht="39.75" hidden="false" customHeight="true" outlineLevel="0" collapsed="false">
      <c r="A170" s="32" t="s">
        <v>505</v>
      </c>
      <c r="B170" s="32" t="s">
        <v>232</v>
      </c>
      <c r="C170" s="32" t="s">
        <v>506</v>
      </c>
      <c r="D170" s="24" t="s">
        <v>171</v>
      </c>
      <c r="E170" s="25" t="s">
        <v>172</v>
      </c>
      <c r="F170" s="26" t="s">
        <v>507</v>
      </c>
      <c r="G170" s="26" t="s">
        <v>508</v>
      </c>
    </row>
    <row r="171" customFormat="false" ht="42" hidden="false" customHeight="true" outlineLevel="0" collapsed="false">
      <c r="A171" s="24" t="s">
        <v>505</v>
      </c>
      <c r="B171" s="24" t="s">
        <v>232</v>
      </c>
      <c r="C171" s="24" t="s">
        <v>506</v>
      </c>
      <c r="D171" s="24" t="s">
        <v>175</v>
      </c>
      <c r="E171" s="27" t="s">
        <v>176</v>
      </c>
      <c r="F171" s="26" t="s">
        <v>509</v>
      </c>
      <c r="G171" s="26" t="s">
        <v>510</v>
      </c>
    </row>
    <row r="172" customFormat="false" ht="39.75" hidden="false" customHeight="true" outlineLevel="0" collapsed="false">
      <c r="A172" s="24" t="s">
        <v>505</v>
      </c>
      <c r="B172" s="24" t="s">
        <v>232</v>
      </c>
      <c r="C172" s="24" t="s">
        <v>506</v>
      </c>
      <c r="D172" s="24" t="s">
        <v>179</v>
      </c>
      <c r="E172" s="28" t="s">
        <v>180</v>
      </c>
      <c r="F172" s="26" t="s">
        <v>511</v>
      </c>
      <c r="G172" s="26" t="s">
        <v>512</v>
      </c>
    </row>
    <row r="173" customFormat="false" ht="39.75" hidden="false" customHeight="true" outlineLevel="0" collapsed="false">
      <c r="A173" s="24" t="s">
        <v>505</v>
      </c>
      <c r="B173" s="24" t="s">
        <v>232</v>
      </c>
      <c r="C173" s="24" t="s">
        <v>506</v>
      </c>
      <c r="D173" s="24" t="s">
        <v>183</v>
      </c>
      <c r="E173" s="29" t="s">
        <v>184</v>
      </c>
      <c r="F173" s="26" t="s">
        <v>513</v>
      </c>
      <c r="G173" s="26" t="s">
        <v>514</v>
      </c>
    </row>
    <row r="174" customFormat="false" ht="126" hidden="false" customHeight="true" outlineLevel="0" collapsed="false">
      <c r="A174" s="24" t="s">
        <v>505</v>
      </c>
      <c r="B174" s="24" t="s">
        <v>232</v>
      </c>
      <c r="C174" s="24" t="s">
        <v>506</v>
      </c>
      <c r="D174" s="24" t="s">
        <v>187</v>
      </c>
      <c r="E174" s="30" t="s">
        <v>188</v>
      </c>
      <c r="F174" s="26" t="s">
        <v>189</v>
      </c>
      <c r="G174" s="26" t="s">
        <v>515</v>
      </c>
    </row>
    <row r="175" customFormat="false" ht="39.75" hidden="false" customHeight="true" outlineLevel="0" collapsed="false">
      <c r="A175" s="24" t="s">
        <v>505</v>
      </c>
      <c r="B175" s="24" t="s">
        <v>232</v>
      </c>
      <c r="C175" s="24" t="s">
        <v>506</v>
      </c>
      <c r="D175" s="24" t="s">
        <v>191</v>
      </c>
      <c r="E175" s="31" t="s">
        <v>192</v>
      </c>
      <c r="F175" s="26" t="s">
        <v>516</v>
      </c>
      <c r="G175" s="26" t="s">
        <v>517</v>
      </c>
    </row>
    <row r="176" customFormat="false" ht="39.75" hidden="false" customHeight="true" outlineLevel="0" collapsed="false">
      <c r="A176" s="24" t="s">
        <v>505</v>
      </c>
      <c r="B176" s="24" t="s">
        <v>232</v>
      </c>
      <c r="C176" s="24" t="s">
        <v>506</v>
      </c>
      <c r="D176" s="24" t="s">
        <v>195</v>
      </c>
      <c r="E176" s="29" t="s">
        <v>196</v>
      </c>
      <c r="F176" s="26" t="s">
        <v>518</v>
      </c>
      <c r="G176" s="26" t="s">
        <v>519</v>
      </c>
    </row>
    <row r="177" customFormat="false" ht="39.75" hidden="false" customHeight="true" outlineLevel="0" collapsed="false">
      <c r="A177" s="24" t="s">
        <v>520</v>
      </c>
      <c r="B177" s="24" t="s">
        <v>248</v>
      </c>
      <c r="C177" s="24" t="s">
        <v>521</v>
      </c>
      <c r="D177" s="24" t="s">
        <v>171</v>
      </c>
      <c r="E177" s="25" t="s">
        <v>172</v>
      </c>
      <c r="F177" s="26" t="s">
        <v>522</v>
      </c>
      <c r="G177" s="26" t="s">
        <v>523</v>
      </c>
    </row>
    <row r="178" customFormat="false" ht="55.5" hidden="false" customHeight="true" outlineLevel="0" collapsed="false">
      <c r="A178" s="24" t="s">
        <v>520</v>
      </c>
      <c r="B178" s="24" t="s">
        <v>248</v>
      </c>
      <c r="C178" s="24" t="s">
        <v>521</v>
      </c>
      <c r="D178" s="24" t="s">
        <v>175</v>
      </c>
      <c r="E178" s="27" t="s">
        <v>176</v>
      </c>
      <c r="F178" s="26" t="s">
        <v>524</v>
      </c>
      <c r="G178" s="26" t="s">
        <v>525</v>
      </c>
    </row>
    <row r="179" customFormat="false" ht="39.75" hidden="false" customHeight="true" outlineLevel="0" collapsed="false">
      <c r="A179" s="24" t="s">
        <v>520</v>
      </c>
      <c r="B179" s="24" t="s">
        <v>248</v>
      </c>
      <c r="C179" s="24" t="s">
        <v>521</v>
      </c>
      <c r="D179" s="24" t="s">
        <v>179</v>
      </c>
      <c r="E179" s="28" t="s">
        <v>180</v>
      </c>
      <c r="F179" s="26" t="s">
        <v>526</v>
      </c>
      <c r="G179" s="26" t="s">
        <v>527</v>
      </c>
    </row>
    <row r="180" customFormat="false" ht="39.75" hidden="false" customHeight="true" outlineLevel="0" collapsed="false">
      <c r="A180" s="24" t="s">
        <v>520</v>
      </c>
      <c r="B180" s="24" t="s">
        <v>248</v>
      </c>
      <c r="C180" s="24" t="s">
        <v>521</v>
      </c>
      <c r="D180" s="24" t="s">
        <v>183</v>
      </c>
      <c r="E180" s="29" t="s">
        <v>184</v>
      </c>
      <c r="F180" s="26" t="s">
        <v>374</v>
      </c>
      <c r="G180" s="26" t="s">
        <v>375</v>
      </c>
    </row>
    <row r="181" customFormat="false" ht="139.5" hidden="false" customHeight="true" outlineLevel="0" collapsed="false">
      <c r="A181" s="24" t="s">
        <v>520</v>
      </c>
      <c r="B181" s="24" t="s">
        <v>248</v>
      </c>
      <c r="C181" s="24" t="s">
        <v>521</v>
      </c>
      <c r="D181" s="24" t="s">
        <v>187</v>
      </c>
      <c r="E181" s="30" t="s">
        <v>188</v>
      </c>
      <c r="F181" s="26" t="s">
        <v>189</v>
      </c>
      <c r="G181" s="26" t="s">
        <v>528</v>
      </c>
    </row>
    <row r="182" customFormat="false" ht="39.75" hidden="false" customHeight="true" outlineLevel="0" collapsed="false">
      <c r="A182" s="24" t="s">
        <v>520</v>
      </c>
      <c r="B182" s="24" t="s">
        <v>248</v>
      </c>
      <c r="C182" s="24" t="s">
        <v>521</v>
      </c>
      <c r="D182" s="24" t="s">
        <v>191</v>
      </c>
      <c r="E182" s="31" t="s">
        <v>192</v>
      </c>
      <c r="F182" s="26" t="s">
        <v>529</v>
      </c>
      <c r="G182" s="26" t="s">
        <v>530</v>
      </c>
    </row>
    <row r="183" customFormat="false" ht="39.75" hidden="false" customHeight="true" outlineLevel="0" collapsed="false">
      <c r="A183" s="24" t="s">
        <v>520</v>
      </c>
      <c r="B183" s="24" t="s">
        <v>248</v>
      </c>
      <c r="C183" s="24" t="s">
        <v>521</v>
      </c>
      <c r="D183" s="24" t="s">
        <v>195</v>
      </c>
      <c r="E183" s="29" t="s">
        <v>196</v>
      </c>
      <c r="F183" s="26" t="s">
        <v>275</v>
      </c>
      <c r="G183" s="26" t="s">
        <v>276</v>
      </c>
    </row>
    <row r="184" customFormat="false" ht="39.75" hidden="false" customHeight="true" outlineLevel="0" collapsed="false">
      <c r="A184" s="24" t="s">
        <v>531</v>
      </c>
      <c r="B184" s="24" t="s">
        <v>262</v>
      </c>
      <c r="C184" s="24" t="s">
        <v>532</v>
      </c>
      <c r="D184" s="24" t="s">
        <v>171</v>
      </c>
      <c r="E184" s="25" t="s">
        <v>172</v>
      </c>
      <c r="F184" s="26" t="s">
        <v>533</v>
      </c>
      <c r="G184" s="26" t="s">
        <v>534</v>
      </c>
    </row>
    <row r="185" customFormat="false" ht="42" hidden="false" customHeight="true" outlineLevel="0" collapsed="false">
      <c r="A185" s="24" t="s">
        <v>531</v>
      </c>
      <c r="B185" s="24" t="s">
        <v>262</v>
      </c>
      <c r="C185" s="24" t="s">
        <v>532</v>
      </c>
      <c r="D185" s="24" t="s">
        <v>175</v>
      </c>
      <c r="E185" s="27" t="s">
        <v>176</v>
      </c>
      <c r="F185" s="26" t="s">
        <v>535</v>
      </c>
      <c r="G185" s="26" t="s">
        <v>536</v>
      </c>
    </row>
    <row r="186" customFormat="false" ht="39.75" hidden="false" customHeight="true" outlineLevel="0" collapsed="false">
      <c r="A186" s="24" t="s">
        <v>531</v>
      </c>
      <c r="B186" s="24" t="s">
        <v>262</v>
      </c>
      <c r="C186" s="24" t="s">
        <v>532</v>
      </c>
      <c r="D186" s="24" t="s">
        <v>179</v>
      </c>
      <c r="E186" s="28" t="s">
        <v>180</v>
      </c>
      <c r="F186" s="26" t="s">
        <v>537</v>
      </c>
      <c r="G186" s="26" t="s">
        <v>538</v>
      </c>
    </row>
    <row r="187" customFormat="false" ht="39.75" hidden="false" customHeight="true" outlineLevel="0" collapsed="false">
      <c r="A187" s="24" t="s">
        <v>531</v>
      </c>
      <c r="B187" s="24" t="s">
        <v>262</v>
      </c>
      <c r="C187" s="24" t="s">
        <v>532</v>
      </c>
      <c r="D187" s="24" t="s">
        <v>183</v>
      </c>
      <c r="E187" s="29" t="s">
        <v>184</v>
      </c>
      <c r="F187" s="26" t="s">
        <v>312</v>
      </c>
      <c r="G187" s="26" t="s">
        <v>313</v>
      </c>
    </row>
    <row r="188" customFormat="false" ht="139.5" hidden="false" customHeight="true" outlineLevel="0" collapsed="false">
      <c r="A188" s="24" t="s">
        <v>531</v>
      </c>
      <c r="B188" s="24" t="s">
        <v>262</v>
      </c>
      <c r="C188" s="24" t="s">
        <v>532</v>
      </c>
      <c r="D188" s="24" t="s">
        <v>187</v>
      </c>
      <c r="E188" s="30" t="s">
        <v>188</v>
      </c>
      <c r="F188" s="26" t="s">
        <v>189</v>
      </c>
      <c r="G188" s="26" t="s">
        <v>539</v>
      </c>
    </row>
    <row r="189" customFormat="false" ht="39.75" hidden="false" customHeight="true" outlineLevel="0" collapsed="false">
      <c r="A189" s="24" t="s">
        <v>531</v>
      </c>
      <c r="B189" s="24" t="s">
        <v>262</v>
      </c>
      <c r="C189" s="24" t="s">
        <v>532</v>
      </c>
      <c r="D189" s="24" t="s">
        <v>191</v>
      </c>
      <c r="E189" s="31" t="s">
        <v>192</v>
      </c>
      <c r="F189" s="26" t="s">
        <v>540</v>
      </c>
      <c r="G189" s="26" t="s">
        <v>541</v>
      </c>
    </row>
    <row r="190" customFormat="false" ht="39.75" hidden="false" customHeight="true" outlineLevel="0" collapsed="false">
      <c r="A190" s="24" t="s">
        <v>531</v>
      </c>
      <c r="B190" s="24" t="s">
        <v>262</v>
      </c>
      <c r="C190" s="24" t="s">
        <v>532</v>
      </c>
      <c r="D190" s="24" t="s">
        <v>195</v>
      </c>
      <c r="E190" s="29" t="s">
        <v>196</v>
      </c>
      <c r="F190" s="26" t="s">
        <v>229</v>
      </c>
      <c r="G190" s="26" t="s">
        <v>230</v>
      </c>
    </row>
    <row r="191" customFormat="false" ht="39.75" hidden="false" customHeight="true" outlineLevel="0" collapsed="false">
      <c r="A191" s="24" t="s">
        <v>542</v>
      </c>
      <c r="B191" s="24" t="s">
        <v>278</v>
      </c>
      <c r="C191" s="24" t="s">
        <v>543</v>
      </c>
      <c r="D191" s="24" t="s">
        <v>171</v>
      </c>
      <c r="E191" s="25" t="s">
        <v>172</v>
      </c>
      <c r="F191" s="26" t="s">
        <v>544</v>
      </c>
      <c r="G191" s="26" t="s">
        <v>545</v>
      </c>
    </row>
    <row r="192" customFormat="false" ht="55.5" hidden="false" customHeight="true" outlineLevel="0" collapsed="false">
      <c r="A192" s="24" t="s">
        <v>542</v>
      </c>
      <c r="B192" s="24" t="s">
        <v>278</v>
      </c>
      <c r="C192" s="24" t="s">
        <v>543</v>
      </c>
      <c r="D192" s="24" t="s">
        <v>175</v>
      </c>
      <c r="E192" s="27" t="s">
        <v>176</v>
      </c>
      <c r="F192" s="26" t="s">
        <v>546</v>
      </c>
      <c r="G192" s="26" t="s">
        <v>547</v>
      </c>
    </row>
    <row r="193" customFormat="false" ht="39.75" hidden="false" customHeight="true" outlineLevel="0" collapsed="false">
      <c r="A193" s="24" t="s">
        <v>542</v>
      </c>
      <c r="B193" s="24" t="s">
        <v>278</v>
      </c>
      <c r="C193" s="24" t="s">
        <v>543</v>
      </c>
      <c r="D193" s="24" t="s">
        <v>179</v>
      </c>
      <c r="E193" s="28" t="s">
        <v>180</v>
      </c>
      <c r="F193" s="26" t="s">
        <v>548</v>
      </c>
      <c r="G193" s="26" t="s">
        <v>549</v>
      </c>
    </row>
    <row r="194" customFormat="false" ht="39.75" hidden="false" customHeight="true" outlineLevel="0" collapsed="false">
      <c r="A194" s="24" t="s">
        <v>542</v>
      </c>
      <c r="B194" s="24" t="s">
        <v>278</v>
      </c>
      <c r="C194" s="24" t="s">
        <v>543</v>
      </c>
      <c r="D194" s="24" t="s">
        <v>183</v>
      </c>
      <c r="E194" s="29" t="s">
        <v>184</v>
      </c>
      <c r="F194" s="26" t="s">
        <v>240</v>
      </c>
      <c r="G194" s="26" t="s">
        <v>241</v>
      </c>
    </row>
    <row r="195" customFormat="false" ht="139.5" hidden="false" customHeight="true" outlineLevel="0" collapsed="false">
      <c r="A195" s="24" t="s">
        <v>542</v>
      </c>
      <c r="B195" s="24" t="s">
        <v>278</v>
      </c>
      <c r="C195" s="24" t="s">
        <v>543</v>
      </c>
      <c r="D195" s="24" t="s">
        <v>187</v>
      </c>
      <c r="E195" s="30" t="s">
        <v>188</v>
      </c>
      <c r="F195" s="26" t="s">
        <v>189</v>
      </c>
      <c r="G195" s="26" t="s">
        <v>550</v>
      </c>
    </row>
    <row r="196" customFormat="false" ht="39.75" hidden="false" customHeight="true" outlineLevel="0" collapsed="false">
      <c r="A196" s="24" t="s">
        <v>542</v>
      </c>
      <c r="B196" s="24" t="s">
        <v>278</v>
      </c>
      <c r="C196" s="24" t="s">
        <v>543</v>
      </c>
      <c r="D196" s="24" t="s">
        <v>191</v>
      </c>
      <c r="E196" s="31" t="s">
        <v>192</v>
      </c>
      <c r="F196" s="26" t="s">
        <v>551</v>
      </c>
      <c r="G196" s="26" t="s">
        <v>552</v>
      </c>
    </row>
    <row r="197" customFormat="false" ht="39.75" hidden="false" customHeight="true" outlineLevel="0" collapsed="false">
      <c r="A197" s="24" t="s">
        <v>542</v>
      </c>
      <c r="B197" s="24" t="s">
        <v>278</v>
      </c>
      <c r="C197" s="24" t="s">
        <v>543</v>
      </c>
      <c r="D197" s="24" t="s">
        <v>195</v>
      </c>
      <c r="E197" s="29" t="s">
        <v>196</v>
      </c>
      <c r="F197" s="26" t="s">
        <v>245</v>
      </c>
      <c r="G197" s="26" t="s">
        <v>246</v>
      </c>
    </row>
    <row r="198" customFormat="false" ht="39.75" hidden="false" customHeight="true" outlineLevel="0" collapsed="false">
      <c r="A198" s="24" t="s">
        <v>553</v>
      </c>
      <c r="B198" s="24" t="s">
        <v>169</v>
      </c>
      <c r="C198" s="24" t="s">
        <v>554</v>
      </c>
      <c r="D198" s="24" t="s">
        <v>171</v>
      </c>
      <c r="E198" s="25" t="s">
        <v>172</v>
      </c>
      <c r="F198" s="26" t="s">
        <v>555</v>
      </c>
      <c r="G198" s="26" t="s">
        <v>556</v>
      </c>
    </row>
    <row r="199" customFormat="false" ht="42" hidden="false" customHeight="true" outlineLevel="0" collapsed="false">
      <c r="A199" s="24" t="s">
        <v>553</v>
      </c>
      <c r="B199" s="24" t="s">
        <v>169</v>
      </c>
      <c r="C199" s="24" t="s">
        <v>554</v>
      </c>
      <c r="D199" s="24" t="s">
        <v>175</v>
      </c>
      <c r="E199" s="27" t="s">
        <v>176</v>
      </c>
      <c r="F199" s="26" t="s">
        <v>557</v>
      </c>
      <c r="G199" s="26" t="s">
        <v>558</v>
      </c>
    </row>
    <row r="200" customFormat="false" ht="39.75" hidden="false" customHeight="true" outlineLevel="0" collapsed="false">
      <c r="A200" s="24" t="s">
        <v>553</v>
      </c>
      <c r="B200" s="24" t="s">
        <v>169</v>
      </c>
      <c r="C200" s="24" t="s">
        <v>554</v>
      </c>
      <c r="D200" s="24" t="s">
        <v>179</v>
      </c>
      <c r="E200" s="28" t="s">
        <v>180</v>
      </c>
      <c r="F200" s="26" t="s">
        <v>559</v>
      </c>
      <c r="G200" s="26" t="s">
        <v>560</v>
      </c>
    </row>
    <row r="201" customFormat="false" ht="39.75" hidden="false" customHeight="true" outlineLevel="0" collapsed="false">
      <c r="A201" s="24" t="s">
        <v>553</v>
      </c>
      <c r="B201" s="24" t="s">
        <v>169</v>
      </c>
      <c r="C201" s="24" t="s">
        <v>554</v>
      </c>
      <c r="D201" s="24" t="s">
        <v>183</v>
      </c>
      <c r="E201" s="29" t="s">
        <v>184</v>
      </c>
      <c r="F201" s="26" t="s">
        <v>256</v>
      </c>
      <c r="G201" s="26" t="s">
        <v>257</v>
      </c>
    </row>
    <row r="202" customFormat="false" ht="126" hidden="false" customHeight="true" outlineLevel="0" collapsed="false">
      <c r="A202" s="24" t="s">
        <v>553</v>
      </c>
      <c r="B202" s="24" t="s">
        <v>169</v>
      </c>
      <c r="C202" s="24" t="s">
        <v>554</v>
      </c>
      <c r="D202" s="24" t="s">
        <v>187</v>
      </c>
      <c r="E202" s="30" t="s">
        <v>188</v>
      </c>
      <c r="F202" s="26" t="s">
        <v>189</v>
      </c>
      <c r="G202" s="26" t="s">
        <v>561</v>
      </c>
    </row>
    <row r="203" customFormat="false" ht="39.75" hidden="false" customHeight="true" outlineLevel="0" collapsed="false">
      <c r="A203" s="24" t="s">
        <v>553</v>
      </c>
      <c r="B203" s="24" t="s">
        <v>169</v>
      </c>
      <c r="C203" s="24" t="s">
        <v>554</v>
      </c>
      <c r="D203" s="24" t="s">
        <v>191</v>
      </c>
      <c r="E203" s="31" t="s">
        <v>192</v>
      </c>
      <c r="F203" s="26" t="s">
        <v>562</v>
      </c>
      <c r="G203" s="26" t="s">
        <v>563</v>
      </c>
    </row>
    <row r="204" customFormat="false" ht="39.75" hidden="false" customHeight="true" outlineLevel="0" collapsed="false">
      <c r="A204" s="24" t="s">
        <v>553</v>
      </c>
      <c r="B204" s="24" t="s">
        <v>169</v>
      </c>
      <c r="C204" s="24" t="s">
        <v>554</v>
      </c>
      <c r="D204" s="24" t="s">
        <v>195</v>
      </c>
      <c r="E204" s="29" t="s">
        <v>196</v>
      </c>
      <c r="F204" s="26" t="s">
        <v>197</v>
      </c>
      <c r="G204" s="26" t="s">
        <v>198</v>
      </c>
    </row>
    <row r="205" customFormat="false" ht="39.75" hidden="false" customHeight="true" outlineLevel="0" collapsed="false">
      <c r="A205" s="24" t="s">
        <v>564</v>
      </c>
      <c r="B205" s="24" t="s">
        <v>200</v>
      </c>
      <c r="C205" s="24" t="s">
        <v>565</v>
      </c>
      <c r="D205" s="24" t="s">
        <v>171</v>
      </c>
      <c r="E205" s="25" t="s">
        <v>172</v>
      </c>
      <c r="F205" s="26" t="s">
        <v>566</v>
      </c>
      <c r="G205" s="26" t="s">
        <v>567</v>
      </c>
    </row>
    <row r="206" customFormat="false" ht="42" hidden="false" customHeight="true" outlineLevel="0" collapsed="false">
      <c r="A206" s="24" t="s">
        <v>564</v>
      </c>
      <c r="B206" s="24" t="s">
        <v>200</v>
      </c>
      <c r="C206" s="24" t="s">
        <v>565</v>
      </c>
      <c r="D206" s="24" t="s">
        <v>175</v>
      </c>
      <c r="E206" s="27" t="s">
        <v>176</v>
      </c>
      <c r="F206" s="26" t="s">
        <v>568</v>
      </c>
      <c r="G206" s="26" t="s">
        <v>569</v>
      </c>
    </row>
    <row r="207" customFormat="false" ht="39.75" hidden="false" customHeight="true" outlineLevel="0" collapsed="false">
      <c r="A207" s="24" t="s">
        <v>564</v>
      </c>
      <c r="B207" s="24" t="s">
        <v>200</v>
      </c>
      <c r="C207" s="24" t="s">
        <v>565</v>
      </c>
      <c r="D207" s="24" t="s">
        <v>179</v>
      </c>
      <c r="E207" s="28" t="s">
        <v>180</v>
      </c>
      <c r="F207" s="26" t="s">
        <v>570</v>
      </c>
      <c r="G207" s="26" t="s">
        <v>571</v>
      </c>
    </row>
    <row r="208" customFormat="false" ht="39.75" hidden="false" customHeight="true" outlineLevel="0" collapsed="false">
      <c r="A208" s="24" t="s">
        <v>564</v>
      </c>
      <c r="B208" s="24" t="s">
        <v>200</v>
      </c>
      <c r="C208" s="24" t="s">
        <v>565</v>
      </c>
      <c r="D208" s="24" t="s">
        <v>183</v>
      </c>
      <c r="E208" s="29" t="s">
        <v>184</v>
      </c>
      <c r="F208" s="26" t="s">
        <v>270</v>
      </c>
      <c r="G208" s="26" t="s">
        <v>271</v>
      </c>
    </row>
    <row r="209" customFormat="false" ht="139.5" hidden="false" customHeight="true" outlineLevel="0" collapsed="false">
      <c r="A209" s="24" t="s">
        <v>564</v>
      </c>
      <c r="B209" s="24" t="s">
        <v>200</v>
      </c>
      <c r="C209" s="24" t="s">
        <v>565</v>
      </c>
      <c r="D209" s="24" t="s">
        <v>187</v>
      </c>
      <c r="E209" s="30" t="s">
        <v>188</v>
      </c>
      <c r="F209" s="26" t="s">
        <v>189</v>
      </c>
      <c r="G209" s="26" t="s">
        <v>572</v>
      </c>
    </row>
    <row r="210" customFormat="false" ht="39.75" hidden="false" customHeight="true" outlineLevel="0" collapsed="false">
      <c r="A210" s="24" t="s">
        <v>564</v>
      </c>
      <c r="B210" s="24" t="s">
        <v>200</v>
      </c>
      <c r="C210" s="24" t="s">
        <v>565</v>
      </c>
      <c r="D210" s="24" t="s">
        <v>191</v>
      </c>
      <c r="E210" s="31" t="s">
        <v>192</v>
      </c>
      <c r="F210" s="26" t="s">
        <v>573</v>
      </c>
      <c r="G210" s="26" t="s">
        <v>574</v>
      </c>
    </row>
    <row r="211" customFormat="false" ht="39.75" hidden="false" customHeight="true" outlineLevel="0" collapsed="false">
      <c r="A211" s="24" t="s">
        <v>564</v>
      </c>
      <c r="B211" s="24" t="s">
        <v>200</v>
      </c>
      <c r="C211" s="24" t="s">
        <v>565</v>
      </c>
      <c r="D211" s="24" t="s">
        <v>195</v>
      </c>
      <c r="E211" s="29" t="s">
        <v>196</v>
      </c>
      <c r="F211" s="26" t="s">
        <v>275</v>
      </c>
      <c r="G211" s="26" t="s">
        <v>276</v>
      </c>
    </row>
    <row r="212" customFormat="false" ht="39.75" hidden="false" customHeight="true" outlineLevel="0" collapsed="false">
      <c r="A212" s="24" t="s">
        <v>575</v>
      </c>
      <c r="B212" s="24" t="s">
        <v>216</v>
      </c>
      <c r="C212" s="24" t="s">
        <v>576</v>
      </c>
      <c r="D212" s="24" t="s">
        <v>171</v>
      </c>
      <c r="E212" s="25" t="s">
        <v>172</v>
      </c>
      <c r="F212" s="26" t="s">
        <v>577</v>
      </c>
      <c r="G212" s="26" t="s">
        <v>578</v>
      </c>
    </row>
    <row r="213" customFormat="false" ht="42" hidden="false" customHeight="true" outlineLevel="0" collapsed="false">
      <c r="A213" s="24" t="s">
        <v>575</v>
      </c>
      <c r="B213" s="24" t="s">
        <v>216</v>
      </c>
      <c r="C213" s="24" t="s">
        <v>576</v>
      </c>
      <c r="D213" s="24" t="s">
        <v>175</v>
      </c>
      <c r="E213" s="27" t="s">
        <v>176</v>
      </c>
      <c r="F213" s="26" t="s">
        <v>579</v>
      </c>
      <c r="G213" s="26" t="s">
        <v>580</v>
      </c>
    </row>
    <row r="214" customFormat="false" ht="39.75" hidden="false" customHeight="true" outlineLevel="0" collapsed="false">
      <c r="A214" s="24" t="s">
        <v>575</v>
      </c>
      <c r="B214" s="24" t="s">
        <v>216</v>
      </c>
      <c r="C214" s="24" t="s">
        <v>576</v>
      </c>
      <c r="D214" s="24" t="s">
        <v>179</v>
      </c>
      <c r="E214" s="28" t="s">
        <v>180</v>
      </c>
      <c r="F214" s="26" t="s">
        <v>581</v>
      </c>
      <c r="G214" s="26" t="s">
        <v>582</v>
      </c>
    </row>
    <row r="215" customFormat="false" ht="39.75" hidden="false" customHeight="true" outlineLevel="0" collapsed="false">
      <c r="A215" s="24" t="s">
        <v>575</v>
      </c>
      <c r="B215" s="24" t="s">
        <v>216</v>
      </c>
      <c r="C215" s="24" t="s">
        <v>576</v>
      </c>
      <c r="D215" s="24" t="s">
        <v>183</v>
      </c>
      <c r="E215" s="29" t="s">
        <v>184</v>
      </c>
      <c r="F215" s="26" t="s">
        <v>583</v>
      </c>
      <c r="G215" s="26" t="s">
        <v>584</v>
      </c>
    </row>
    <row r="216" customFormat="false" ht="139.5" hidden="false" customHeight="true" outlineLevel="0" collapsed="false">
      <c r="A216" s="24" t="s">
        <v>575</v>
      </c>
      <c r="B216" s="24" t="s">
        <v>216</v>
      </c>
      <c r="C216" s="24" t="s">
        <v>576</v>
      </c>
      <c r="D216" s="24" t="s">
        <v>187</v>
      </c>
      <c r="E216" s="30" t="s">
        <v>188</v>
      </c>
      <c r="F216" s="26" t="s">
        <v>189</v>
      </c>
      <c r="G216" s="26" t="s">
        <v>585</v>
      </c>
    </row>
    <row r="217" customFormat="false" ht="42" hidden="false" customHeight="true" outlineLevel="0" collapsed="false">
      <c r="A217" s="24" t="s">
        <v>575</v>
      </c>
      <c r="B217" s="24" t="s">
        <v>216</v>
      </c>
      <c r="C217" s="24" t="s">
        <v>576</v>
      </c>
      <c r="D217" s="24" t="s">
        <v>191</v>
      </c>
      <c r="E217" s="31" t="s">
        <v>192</v>
      </c>
      <c r="F217" s="26" t="s">
        <v>586</v>
      </c>
      <c r="G217" s="26" t="s">
        <v>587</v>
      </c>
    </row>
    <row r="218" customFormat="false" ht="39.75" hidden="false" customHeight="true" outlineLevel="0" collapsed="false">
      <c r="A218" s="24" t="s">
        <v>575</v>
      </c>
      <c r="B218" s="24" t="s">
        <v>216</v>
      </c>
      <c r="C218" s="24" t="s">
        <v>576</v>
      </c>
      <c r="D218" s="24" t="s">
        <v>195</v>
      </c>
      <c r="E218" s="29" t="s">
        <v>196</v>
      </c>
      <c r="F218" s="26" t="s">
        <v>588</v>
      </c>
      <c r="G218" s="26" t="s">
        <v>589</v>
      </c>
    </row>
  </sheetData>
  <printOptions headings="false" gridLines="false" gridLinesSet="true" horizontalCentered="false" verticalCentered="false"/>
  <pageMargins left="0.4" right="0.4" top="0.5" bottom="0.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2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8"/>
    <col collapsed="false" customWidth="true" hidden="false" outlineLevel="0" max="2" min="2" style="0" width="12"/>
    <col collapsed="false" customWidth="true" hidden="false" outlineLevel="0" max="3" min="3" style="0" width="26"/>
    <col collapsed="false" customWidth="true" hidden="false" outlineLevel="0" max="4" min="4" style="0" width="12"/>
    <col collapsed="false" customWidth="true" hidden="false" outlineLevel="0" max="5" min="5" style="0" width="22"/>
    <col collapsed="false" customWidth="true" hidden="false" outlineLevel="0" max="6" min="6" style="0" width="32"/>
    <col collapsed="false" customWidth="true" hidden="false" outlineLevel="0" max="7" min="7" style="0" width="80"/>
  </cols>
  <sheetData>
    <row r="1" customFormat="false" ht="25.5" hidden="false" customHeight="true" outlineLevel="0" collapsed="false">
      <c r="A1" s="23" t="s">
        <v>161</v>
      </c>
      <c r="B1" s="23" t="s">
        <v>162</v>
      </c>
      <c r="C1" s="23" t="s">
        <v>163</v>
      </c>
      <c r="D1" s="23" t="s">
        <v>164</v>
      </c>
      <c r="E1" s="23" t="s">
        <v>165</v>
      </c>
      <c r="F1" s="23" t="s">
        <v>166</v>
      </c>
      <c r="G1" s="23" t="s">
        <v>167</v>
      </c>
    </row>
    <row r="2" customFormat="false" ht="42" hidden="false" customHeight="true" outlineLevel="0" collapsed="false">
      <c r="A2" s="24" t="s">
        <v>168</v>
      </c>
      <c r="B2" s="24" t="s">
        <v>169</v>
      </c>
      <c r="C2" s="24" t="s">
        <v>170</v>
      </c>
      <c r="D2" s="24" t="s">
        <v>171</v>
      </c>
      <c r="E2" s="25" t="s">
        <v>172</v>
      </c>
      <c r="F2" s="26" t="s">
        <v>590</v>
      </c>
      <c r="G2" s="26" t="s">
        <v>591</v>
      </c>
    </row>
    <row r="3" customFormat="false" ht="69.75" hidden="false" customHeight="true" outlineLevel="0" collapsed="false">
      <c r="A3" s="24" t="s">
        <v>168</v>
      </c>
      <c r="B3" s="24" t="s">
        <v>169</v>
      </c>
      <c r="C3" s="24" t="s">
        <v>170</v>
      </c>
      <c r="D3" s="24" t="s">
        <v>175</v>
      </c>
      <c r="E3" s="27" t="s">
        <v>176</v>
      </c>
      <c r="F3" s="26" t="s">
        <v>177</v>
      </c>
      <c r="G3" s="26" t="s">
        <v>178</v>
      </c>
    </row>
    <row r="4" customFormat="false" ht="42" hidden="false" customHeight="true" outlineLevel="0" collapsed="false">
      <c r="A4" s="24" t="s">
        <v>168</v>
      </c>
      <c r="B4" s="24" t="s">
        <v>169</v>
      </c>
      <c r="C4" s="24" t="s">
        <v>170</v>
      </c>
      <c r="D4" s="24" t="s">
        <v>179</v>
      </c>
      <c r="E4" s="28" t="s">
        <v>180</v>
      </c>
      <c r="F4" s="26" t="s">
        <v>181</v>
      </c>
      <c r="G4" s="26" t="s">
        <v>182</v>
      </c>
    </row>
    <row r="5" customFormat="false" ht="39.75" hidden="false" customHeight="true" outlineLevel="0" collapsed="false">
      <c r="A5" s="24" t="s">
        <v>168</v>
      </c>
      <c r="B5" s="24" t="s">
        <v>169</v>
      </c>
      <c r="C5" s="24" t="s">
        <v>170</v>
      </c>
      <c r="D5" s="24" t="s">
        <v>183</v>
      </c>
      <c r="E5" s="29" t="s">
        <v>184</v>
      </c>
      <c r="F5" s="26" t="s">
        <v>592</v>
      </c>
      <c r="G5" s="26" t="s">
        <v>593</v>
      </c>
    </row>
    <row r="6" customFormat="false" ht="111.75" hidden="false" customHeight="true" outlineLevel="0" collapsed="false">
      <c r="A6" s="24" t="s">
        <v>168</v>
      </c>
      <c r="B6" s="24" t="s">
        <v>169</v>
      </c>
      <c r="C6" s="24" t="s">
        <v>170</v>
      </c>
      <c r="D6" s="24" t="s">
        <v>187</v>
      </c>
      <c r="E6" s="30" t="s">
        <v>188</v>
      </c>
      <c r="F6" s="26" t="s">
        <v>189</v>
      </c>
      <c r="G6" s="26" t="s">
        <v>594</v>
      </c>
    </row>
    <row r="7" customFormat="false" ht="39.75" hidden="false" customHeight="true" outlineLevel="0" collapsed="false">
      <c r="A7" s="24" t="s">
        <v>168</v>
      </c>
      <c r="B7" s="24" t="s">
        <v>169</v>
      </c>
      <c r="C7" s="24" t="s">
        <v>170</v>
      </c>
      <c r="D7" s="24" t="s">
        <v>191</v>
      </c>
      <c r="E7" s="31" t="s">
        <v>192</v>
      </c>
      <c r="F7" s="26" t="s">
        <v>193</v>
      </c>
      <c r="G7" s="26" t="s">
        <v>194</v>
      </c>
    </row>
    <row r="8" customFormat="false" ht="39.75" hidden="false" customHeight="true" outlineLevel="0" collapsed="false">
      <c r="A8" s="24" t="s">
        <v>168</v>
      </c>
      <c r="B8" s="24" t="s">
        <v>169</v>
      </c>
      <c r="C8" s="24" t="s">
        <v>170</v>
      </c>
      <c r="D8" s="24" t="s">
        <v>195</v>
      </c>
      <c r="E8" s="29" t="s">
        <v>196</v>
      </c>
      <c r="F8" s="26" t="s">
        <v>595</v>
      </c>
      <c r="G8" s="26" t="s">
        <v>596</v>
      </c>
    </row>
    <row r="9" customFormat="false" ht="39.75" hidden="false" customHeight="true" outlineLevel="0" collapsed="false">
      <c r="A9" s="24" t="s">
        <v>199</v>
      </c>
      <c r="B9" s="24" t="s">
        <v>200</v>
      </c>
      <c r="C9" s="24" t="s">
        <v>201</v>
      </c>
      <c r="D9" s="24" t="s">
        <v>171</v>
      </c>
      <c r="E9" s="25" t="s">
        <v>172</v>
      </c>
      <c r="F9" s="26" t="s">
        <v>597</v>
      </c>
      <c r="G9" s="26" t="s">
        <v>598</v>
      </c>
    </row>
    <row r="10" customFormat="false" ht="42" hidden="false" customHeight="true" outlineLevel="0" collapsed="false">
      <c r="A10" s="24" t="s">
        <v>199</v>
      </c>
      <c r="B10" s="24" t="s">
        <v>200</v>
      </c>
      <c r="C10" s="24" t="s">
        <v>201</v>
      </c>
      <c r="D10" s="24" t="s">
        <v>175</v>
      </c>
      <c r="E10" s="27" t="s">
        <v>176</v>
      </c>
      <c r="F10" s="26" t="s">
        <v>204</v>
      </c>
      <c r="G10" s="26" t="s">
        <v>205</v>
      </c>
    </row>
    <row r="11" customFormat="false" ht="39.75" hidden="false" customHeight="true" outlineLevel="0" collapsed="false">
      <c r="A11" s="24" t="s">
        <v>199</v>
      </c>
      <c r="B11" s="24" t="s">
        <v>200</v>
      </c>
      <c r="C11" s="24" t="s">
        <v>201</v>
      </c>
      <c r="D11" s="24" t="s">
        <v>179</v>
      </c>
      <c r="E11" s="28" t="s">
        <v>180</v>
      </c>
      <c r="F11" s="26" t="s">
        <v>206</v>
      </c>
      <c r="G11" s="26" t="s">
        <v>207</v>
      </c>
    </row>
    <row r="12" customFormat="false" ht="39.75" hidden="false" customHeight="true" outlineLevel="0" collapsed="false">
      <c r="A12" s="24" t="s">
        <v>199</v>
      </c>
      <c r="B12" s="24" t="s">
        <v>200</v>
      </c>
      <c r="C12" s="24" t="s">
        <v>201</v>
      </c>
      <c r="D12" s="24" t="s">
        <v>183</v>
      </c>
      <c r="E12" s="29" t="s">
        <v>184</v>
      </c>
      <c r="F12" s="26" t="s">
        <v>208</v>
      </c>
      <c r="G12" s="26" t="s">
        <v>209</v>
      </c>
    </row>
    <row r="13" customFormat="false" ht="111.75" hidden="false" customHeight="true" outlineLevel="0" collapsed="false">
      <c r="A13" s="24" t="s">
        <v>199</v>
      </c>
      <c r="B13" s="24" t="s">
        <v>200</v>
      </c>
      <c r="C13" s="24" t="s">
        <v>201</v>
      </c>
      <c r="D13" s="24" t="s">
        <v>187</v>
      </c>
      <c r="E13" s="30" t="s">
        <v>188</v>
      </c>
      <c r="F13" s="26" t="s">
        <v>189</v>
      </c>
      <c r="G13" s="26" t="s">
        <v>599</v>
      </c>
    </row>
    <row r="14" customFormat="false" ht="39.75" hidden="false" customHeight="true" outlineLevel="0" collapsed="false">
      <c r="A14" s="24" t="s">
        <v>199</v>
      </c>
      <c r="B14" s="24" t="s">
        <v>200</v>
      </c>
      <c r="C14" s="24" t="s">
        <v>201</v>
      </c>
      <c r="D14" s="24" t="s">
        <v>191</v>
      </c>
      <c r="E14" s="31" t="s">
        <v>192</v>
      </c>
      <c r="F14" s="26" t="s">
        <v>211</v>
      </c>
      <c r="G14" s="26" t="s">
        <v>212</v>
      </c>
    </row>
    <row r="15" customFormat="false" ht="39.75" hidden="false" customHeight="true" outlineLevel="0" collapsed="false">
      <c r="A15" s="24" t="s">
        <v>199</v>
      </c>
      <c r="B15" s="24" t="s">
        <v>200</v>
      </c>
      <c r="C15" s="24" t="s">
        <v>201</v>
      </c>
      <c r="D15" s="24" t="s">
        <v>195</v>
      </c>
      <c r="E15" s="29" t="s">
        <v>196</v>
      </c>
      <c r="F15" s="26" t="s">
        <v>600</v>
      </c>
      <c r="G15" s="26" t="s">
        <v>596</v>
      </c>
    </row>
    <row r="16" customFormat="false" ht="39.75" hidden="false" customHeight="true" outlineLevel="0" collapsed="false">
      <c r="A16" s="24" t="s">
        <v>215</v>
      </c>
      <c r="B16" s="24" t="s">
        <v>216</v>
      </c>
      <c r="C16" s="24" t="s">
        <v>217</v>
      </c>
      <c r="D16" s="24" t="s">
        <v>171</v>
      </c>
      <c r="E16" s="25" t="s">
        <v>172</v>
      </c>
      <c r="F16" s="26" t="s">
        <v>601</v>
      </c>
      <c r="G16" s="26" t="s">
        <v>602</v>
      </c>
    </row>
    <row r="17" customFormat="false" ht="42" hidden="false" customHeight="true" outlineLevel="0" collapsed="false">
      <c r="A17" s="24" t="s">
        <v>215</v>
      </c>
      <c r="B17" s="24" t="s">
        <v>216</v>
      </c>
      <c r="C17" s="24" t="s">
        <v>217</v>
      </c>
      <c r="D17" s="24" t="s">
        <v>175</v>
      </c>
      <c r="E17" s="27" t="s">
        <v>176</v>
      </c>
      <c r="F17" s="26" t="s">
        <v>220</v>
      </c>
      <c r="G17" s="26" t="s">
        <v>221</v>
      </c>
    </row>
    <row r="18" customFormat="false" ht="39.75" hidden="false" customHeight="true" outlineLevel="0" collapsed="false">
      <c r="A18" s="24" t="s">
        <v>215</v>
      </c>
      <c r="B18" s="24" t="s">
        <v>216</v>
      </c>
      <c r="C18" s="24" t="s">
        <v>217</v>
      </c>
      <c r="D18" s="24" t="s">
        <v>179</v>
      </c>
      <c r="E18" s="28" t="s">
        <v>180</v>
      </c>
      <c r="F18" s="26" t="s">
        <v>222</v>
      </c>
      <c r="G18" s="26" t="s">
        <v>223</v>
      </c>
    </row>
    <row r="19" customFormat="false" ht="39.75" hidden="false" customHeight="true" outlineLevel="0" collapsed="false">
      <c r="A19" s="24" t="s">
        <v>215</v>
      </c>
      <c r="B19" s="24" t="s">
        <v>216</v>
      </c>
      <c r="C19" s="24" t="s">
        <v>217</v>
      </c>
      <c r="D19" s="24" t="s">
        <v>183</v>
      </c>
      <c r="E19" s="29" t="s">
        <v>184</v>
      </c>
      <c r="F19" s="26" t="s">
        <v>224</v>
      </c>
      <c r="G19" s="26" t="s">
        <v>225</v>
      </c>
    </row>
    <row r="20" customFormat="false" ht="111.75" hidden="false" customHeight="true" outlineLevel="0" collapsed="false">
      <c r="A20" s="24" t="s">
        <v>215</v>
      </c>
      <c r="B20" s="24" t="s">
        <v>216</v>
      </c>
      <c r="C20" s="24" t="s">
        <v>217</v>
      </c>
      <c r="D20" s="24" t="s">
        <v>187</v>
      </c>
      <c r="E20" s="30" t="s">
        <v>188</v>
      </c>
      <c r="F20" s="26" t="s">
        <v>189</v>
      </c>
      <c r="G20" s="26" t="s">
        <v>603</v>
      </c>
    </row>
    <row r="21" customFormat="false" ht="39.75" hidden="false" customHeight="true" outlineLevel="0" collapsed="false">
      <c r="A21" s="24" t="s">
        <v>215</v>
      </c>
      <c r="B21" s="24" t="s">
        <v>216</v>
      </c>
      <c r="C21" s="24" t="s">
        <v>217</v>
      </c>
      <c r="D21" s="24" t="s">
        <v>191</v>
      </c>
      <c r="E21" s="31" t="s">
        <v>192</v>
      </c>
      <c r="F21" s="26" t="s">
        <v>227</v>
      </c>
      <c r="G21" s="26" t="s">
        <v>228</v>
      </c>
    </row>
    <row r="22" customFormat="false" ht="39.75" hidden="false" customHeight="true" outlineLevel="0" collapsed="false">
      <c r="A22" s="24" t="s">
        <v>215</v>
      </c>
      <c r="B22" s="24" t="s">
        <v>216</v>
      </c>
      <c r="C22" s="24" t="s">
        <v>217</v>
      </c>
      <c r="D22" s="24" t="s">
        <v>195</v>
      </c>
      <c r="E22" s="29" t="s">
        <v>196</v>
      </c>
      <c r="F22" s="26" t="s">
        <v>604</v>
      </c>
      <c r="G22" s="26" t="s">
        <v>605</v>
      </c>
    </row>
    <row r="23" customFormat="false" ht="39.75" hidden="false" customHeight="true" outlineLevel="0" collapsed="false">
      <c r="A23" s="24" t="s">
        <v>231</v>
      </c>
      <c r="B23" s="24" t="s">
        <v>232</v>
      </c>
      <c r="C23" s="24" t="s">
        <v>233</v>
      </c>
      <c r="D23" s="24" t="s">
        <v>171</v>
      </c>
      <c r="E23" s="25" t="s">
        <v>172</v>
      </c>
      <c r="F23" s="26" t="s">
        <v>606</v>
      </c>
      <c r="G23" s="26" t="s">
        <v>607</v>
      </c>
    </row>
    <row r="24" customFormat="false" ht="42" hidden="false" customHeight="true" outlineLevel="0" collapsed="false">
      <c r="A24" s="24" t="s">
        <v>231</v>
      </c>
      <c r="B24" s="24" t="s">
        <v>232</v>
      </c>
      <c r="C24" s="24" t="s">
        <v>233</v>
      </c>
      <c r="D24" s="24" t="s">
        <v>175</v>
      </c>
      <c r="E24" s="27" t="s">
        <v>176</v>
      </c>
      <c r="F24" s="26" t="s">
        <v>236</v>
      </c>
      <c r="G24" s="26" t="s">
        <v>237</v>
      </c>
    </row>
    <row r="25" customFormat="false" ht="39.75" hidden="false" customHeight="true" outlineLevel="0" collapsed="false">
      <c r="A25" s="24" t="s">
        <v>231</v>
      </c>
      <c r="B25" s="24" t="s">
        <v>232</v>
      </c>
      <c r="C25" s="24" t="s">
        <v>233</v>
      </c>
      <c r="D25" s="24" t="s">
        <v>179</v>
      </c>
      <c r="E25" s="28" t="s">
        <v>180</v>
      </c>
      <c r="F25" s="26" t="s">
        <v>238</v>
      </c>
      <c r="G25" s="26" t="s">
        <v>239</v>
      </c>
    </row>
    <row r="26" customFormat="false" ht="39.75" hidden="false" customHeight="true" outlineLevel="0" collapsed="false">
      <c r="A26" s="24" t="s">
        <v>231</v>
      </c>
      <c r="B26" s="24" t="s">
        <v>232</v>
      </c>
      <c r="C26" s="24" t="s">
        <v>233</v>
      </c>
      <c r="D26" s="24" t="s">
        <v>183</v>
      </c>
      <c r="E26" s="29" t="s">
        <v>184</v>
      </c>
      <c r="F26" s="26" t="s">
        <v>608</v>
      </c>
      <c r="G26" s="26" t="s">
        <v>609</v>
      </c>
    </row>
    <row r="27" customFormat="false" ht="111.75" hidden="false" customHeight="true" outlineLevel="0" collapsed="false">
      <c r="A27" s="24" t="s">
        <v>231</v>
      </c>
      <c r="B27" s="24" t="s">
        <v>232</v>
      </c>
      <c r="C27" s="24" t="s">
        <v>233</v>
      </c>
      <c r="D27" s="24" t="s">
        <v>187</v>
      </c>
      <c r="E27" s="30" t="s">
        <v>188</v>
      </c>
      <c r="F27" s="26" t="s">
        <v>189</v>
      </c>
      <c r="G27" s="26" t="s">
        <v>610</v>
      </c>
    </row>
    <row r="28" customFormat="false" ht="39.75" hidden="false" customHeight="true" outlineLevel="0" collapsed="false">
      <c r="A28" s="24" t="s">
        <v>231</v>
      </c>
      <c r="B28" s="24" t="s">
        <v>232</v>
      </c>
      <c r="C28" s="24" t="s">
        <v>233</v>
      </c>
      <c r="D28" s="24" t="s">
        <v>191</v>
      </c>
      <c r="E28" s="31" t="s">
        <v>192</v>
      </c>
      <c r="F28" s="26" t="s">
        <v>243</v>
      </c>
      <c r="G28" s="26" t="s">
        <v>244</v>
      </c>
    </row>
    <row r="29" customFormat="false" ht="39.75" hidden="false" customHeight="true" outlineLevel="0" collapsed="false">
      <c r="A29" s="24" t="s">
        <v>231</v>
      </c>
      <c r="B29" s="24" t="s">
        <v>232</v>
      </c>
      <c r="C29" s="24" t="s">
        <v>233</v>
      </c>
      <c r="D29" s="24" t="s">
        <v>195</v>
      </c>
      <c r="E29" s="29" t="s">
        <v>196</v>
      </c>
      <c r="F29" s="26" t="s">
        <v>611</v>
      </c>
      <c r="G29" s="26" t="s">
        <v>612</v>
      </c>
    </row>
    <row r="30" customFormat="false" ht="39.75" hidden="false" customHeight="true" outlineLevel="0" collapsed="false">
      <c r="A30" s="24" t="s">
        <v>247</v>
      </c>
      <c r="B30" s="24" t="s">
        <v>248</v>
      </c>
      <c r="C30" s="24" t="s">
        <v>249</v>
      </c>
      <c r="D30" s="24" t="s">
        <v>171</v>
      </c>
      <c r="E30" s="25" t="s">
        <v>172</v>
      </c>
      <c r="F30" s="26" t="s">
        <v>613</v>
      </c>
      <c r="G30" s="26" t="s">
        <v>614</v>
      </c>
    </row>
    <row r="31" customFormat="false" ht="42" hidden="false" customHeight="true" outlineLevel="0" collapsed="false">
      <c r="A31" s="24" t="s">
        <v>247</v>
      </c>
      <c r="B31" s="24" t="s">
        <v>248</v>
      </c>
      <c r="C31" s="24" t="s">
        <v>249</v>
      </c>
      <c r="D31" s="24" t="s">
        <v>175</v>
      </c>
      <c r="E31" s="27" t="s">
        <v>176</v>
      </c>
      <c r="F31" s="26" t="s">
        <v>252</v>
      </c>
      <c r="G31" s="26" t="s">
        <v>253</v>
      </c>
    </row>
    <row r="32" customFormat="false" ht="39.75" hidden="false" customHeight="true" outlineLevel="0" collapsed="false">
      <c r="A32" s="24" t="s">
        <v>247</v>
      </c>
      <c r="B32" s="24" t="s">
        <v>248</v>
      </c>
      <c r="C32" s="24" t="s">
        <v>249</v>
      </c>
      <c r="D32" s="24" t="s">
        <v>179</v>
      </c>
      <c r="E32" s="28" t="s">
        <v>180</v>
      </c>
      <c r="F32" s="26" t="s">
        <v>254</v>
      </c>
      <c r="G32" s="26" t="s">
        <v>255</v>
      </c>
    </row>
    <row r="33" customFormat="false" ht="39.75" hidden="false" customHeight="true" outlineLevel="0" collapsed="false">
      <c r="A33" s="24" t="s">
        <v>247</v>
      </c>
      <c r="B33" s="24" t="s">
        <v>248</v>
      </c>
      <c r="C33" s="24" t="s">
        <v>249</v>
      </c>
      <c r="D33" s="24" t="s">
        <v>183</v>
      </c>
      <c r="E33" s="29" t="s">
        <v>184</v>
      </c>
      <c r="F33" s="26" t="s">
        <v>615</v>
      </c>
      <c r="G33" s="26" t="s">
        <v>616</v>
      </c>
    </row>
    <row r="34" customFormat="false" ht="97.5" hidden="false" customHeight="true" outlineLevel="0" collapsed="false">
      <c r="A34" s="24" t="s">
        <v>247</v>
      </c>
      <c r="B34" s="24" t="s">
        <v>248</v>
      </c>
      <c r="C34" s="24" t="s">
        <v>249</v>
      </c>
      <c r="D34" s="24" t="s">
        <v>187</v>
      </c>
      <c r="E34" s="30" t="s">
        <v>188</v>
      </c>
      <c r="F34" s="26" t="s">
        <v>189</v>
      </c>
      <c r="G34" s="26" t="s">
        <v>617</v>
      </c>
    </row>
    <row r="35" customFormat="false" ht="39.75" hidden="false" customHeight="true" outlineLevel="0" collapsed="false">
      <c r="A35" s="24" t="s">
        <v>247</v>
      </c>
      <c r="B35" s="24" t="s">
        <v>248</v>
      </c>
      <c r="C35" s="24" t="s">
        <v>249</v>
      </c>
      <c r="D35" s="24" t="s">
        <v>191</v>
      </c>
      <c r="E35" s="31" t="s">
        <v>192</v>
      </c>
      <c r="F35" s="26" t="s">
        <v>259</v>
      </c>
      <c r="G35" s="26" t="s">
        <v>260</v>
      </c>
    </row>
    <row r="36" customFormat="false" ht="39.75" hidden="false" customHeight="true" outlineLevel="0" collapsed="false">
      <c r="A36" s="24" t="s">
        <v>247</v>
      </c>
      <c r="B36" s="24" t="s">
        <v>248</v>
      </c>
      <c r="C36" s="24" t="s">
        <v>249</v>
      </c>
      <c r="D36" s="24" t="s">
        <v>195</v>
      </c>
      <c r="E36" s="29" t="s">
        <v>196</v>
      </c>
      <c r="F36" s="26" t="s">
        <v>618</v>
      </c>
      <c r="G36" s="26" t="s">
        <v>619</v>
      </c>
    </row>
    <row r="37" customFormat="false" ht="39.75" hidden="false" customHeight="true" outlineLevel="0" collapsed="false">
      <c r="A37" s="24" t="s">
        <v>261</v>
      </c>
      <c r="B37" s="24" t="s">
        <v>262</v>
      </c>
      <c r="C37" s="24" t="s">
        <v>263</v>
      </c>
      <c r="D37" s="24" t="s">
        <v>171</v>
      </c>
      <c r="E37" s="25" t="s">
        <v>172</v>
      </c>
      <c r="F37" s="26" t="s">
        <v>620</v>
      </c>
      <c r="G37" s="26" t="s">
        <v>621</v>
      </c>
    </row>
    <row r="38" customFormat="false" ht="42" hidden="false" customHeight="true" outlineLevel="0" collapsed="false">
      <c r="A38" s="24" t="s">
        <v>261</v>
      </c>
      <c r="B38" s="24" t="s">
        <v>262</v>
      </c>
      <c r="C38" s="24" t="s">
        <v>263</v>
      </c>
      <c r="D38" s="24" t="s">
        <v>175</v>
      </c>
      <c r="E38" s="27" t="s">
        <v>176</v>
      </c>
      <c r="F38" s="26" t="s">
        <v>266</v>
      </c>
      <c r="G38" s="26" t="s">
        <v>267</v>
      </c>
    </row>
    <row r="39" customFormat="false" ht="39.75" hidden="false" customHeight="true" outlineLevel="0" collapsed="false">
      <c r="A39" s="24" t="s">
        <v>261</v>
      </c>
      <c r="B39" s="24" t="s">
        <v>262</v>
      </c>
      <c r="C39" s="24" t="s">
        <v>263</v>
      </c>
      <c r="D39" s="24" t="s">
        <v>179</v>
      </c>
      <c r="E39" s="28" t="s">
        <v>180</v>
      </c>
      <c r="F39" s="26" t="s">
        <v>268</v>
      </c>
      <c r="G39" s="26" t="s">
        <v>269</v>
      </c>
    </row>
    <row r="40" customFormat="false" ht="39.75" hidden="false" customHeight="true" outlineLevel="0" collapsed="false">
      <c r="A40" s="24" t="s">
        <v>261</v>
      </c>
      <c r="B40" s="24" t="s">
        <v>262</v>
      </c>
      <c r="C40" s="24" t="s">
        <v>263</v>
      </c>
      <c r="D40" s="24" t="s">
        <v>183</v>
      </c>
      <c r="E40" s="29" t="s">
        <v>184</v>
      </c>
      <c r="F40" s="26" t="s">
        <v>622</v>
      </c>
      <c r="G40" s="26" t="s">
        <v>623</v>
      </c>
    </row>
    <row r="41" customFormat="false" ht="111.75" hidden="false" customHeight="true" outlineLevel="0" collapsed="false">
      <c r="A41" s="24" t="s">
        <v>261</v>
      </c>
      <c r="B41" s="24" t="s">
        <v>262</v>
      </c>
      <c r="C41" s="24" t="s">
        <v>263</v>
      </c>
      <c r="D41" s="24" t="s">
        <v>187</v>
      </c>
      <c r="E41" s="30" t="s">
        <v>188</v>
      </c>
      <c r="F41" s="26" t="s">
        <v>189</v>
      </c>
      <c r="G41" s="26" t="s">
        <v>624</v>
      </c>
    </row>
    <row r="42" customFormat="false" ht="39.75" hidden="false" customHeight="true" outlineLevel="0" collapsed="false">
      <c r="A42" s="24" t="s">
        <v>261</v>
      </c>
      <c r="B42" s="24" t="s">
        <v>262</v>
      </c>
      <c r="C42" s="24" t="s">
        <v>263</v>
      </c>
      <c r="D42" s="24" t="s">
        <v>191</v>
      </c>
      <c r="E42" s="31" t="s">
        <v>192</v>
      </c>
      <c r="F42" s="26" t="s">
        <v>273</v>
      </c>
      <c r="G42" s="26" t="s">
        <v>274</v>
      </c>
    </row>
    <row r="43" customFormat="false" ht="39.75" hidden="false" customHeight="true" outlineLevel="0" collapsed="false">
      <c r="A43" s="24" t="s">
        <v>261</v>
      </c>
      <c r="B43" s="24" t="s">
        <v>262</v>
      </c>
      <c r="C43" s="24" t="s">
        <v>263</v>
      </c>
      <c r="D43" s="24" t="s">
        <v>195</v>
      </c>
      <c r="E43" s="29" t="s">
        <v>196</v>
      </c>
      <c r="F43" s="26" t="s">
        <v>625</v>
      </c>
      <c r="G43" s="26" t="s">
        <v>626</v>
      </c>
    </row>
    <row r="44" customFormat="false" ht="39.75" hidden="false" customHeight="true" outlineLevel="0" collapsed="false">
      <c r="A44" s="24" t="s">
        <v>277</v>
      </c>
      <c r="B44" s="24" t="s">
        <v>278</v>
      </c>
      <c r="C44" s="24" t="s">
        <v>279</v>
      </c>
      <c r="D44" s="24" t="s">
        <v>171</v>
      </c>
      <c r="E44" s="25" t="s">
        <v>172</v>
      </c>
      <c r="F44" s="26" t="s">
        <v>627</v>
      </c>
      <c r="G44" s="26" t="s">
        <v>628</v>
      </c>
    </row>
    <row r="45" customFormat="false" ht="42" hidden="false" customHeight="true" outlineLevel="0" collapsed="false">
      <c r="A45" s="24" t="s">
        <v>277</v>
      </c>
      <c r="B45" s="24" t="s">
        <v>278</v>
      </c>
      <c r="C45" s="24" t="s">
        <v>279</v>
      </c>
      <c r="D45" s="24" t="s">
        <v>175</v>
      </c>
      <c r="E45" s="27" t="s">
        <v>176</v>
      </c>
      <c r="F45" s="26" t="s">
        <v>282</v>
      </c>
      <c r="G45" s="26" t="s">
        <v>283</v>
      </c>
    </row>
    <row r="46" customFormat="false" ht="39.75" hidden="false" customHeight="true" outlineLevel="0" collapsed="false">
      <c r="A46" s="24" t="s">
        <v>277</v>
      </c>
      <c r="B46" s="24" t="s">
        <v>278</v>
      </c>
      <c r="C46" s="24" t="s">
        <v>279</v>
      </c>
      <c r="D46" s="24" t="s">
        <v>179</v>
      </c>
      <c r="E46" s="28" t="s">
        <v>180</v>
      </c>
      <c r="F46" s="26" t="s">
        <v>284</v>
      </c>
      <c r="G46" s="26" t="s">
        <v>285</v>
      </c>
    </row>
    <row r="47" customFormat="false" ht="39.75" hidden="false" customHeight="true" outlineLevel="0" collapsed="false">
      <c r="A47" s="24" t="s">
        <v>277</v>
      </c>
      <c r="B47" s="24" t="s">
        <v>278</v>
      </c>
      <c r="C47" s="24" t="s">
        <v>279</v>
      </c>
      <c r="D47" s="24" t="s">
        <v>183</v>
      </c>
      <c r="E47" s="29" t="s">
        <v>184</v>
      </c>
      <c r="F47" s="26" t="s">
        <v>286</v>
      </c>
      <c r="G47" s="26" t="s">
        <v>287</v>
      </c>
    </row>
    <row r="48" customFormat="false" ht="111.75" hidden="false" customHeight="true" outlineLevel="0" collapsed="false">
      <c r="A48" s="24" t="s">
        <v>277</v>
      </c>
      <c r="B48" s="24" t="s">
        <v>278</v>
      </c>
      <c r="C48" s="24" t="s">
        <v>279</v>
      </c>
      <c r="D48" s="24" t="s">
        <v>187</v>
      </c>
      <c r="E48" s="30" t="s">
        <v>188</v>
      </c>
      <c r="F48" s="26" t="s">
        <v>189</v>
      </c>
      <c r="G48" s="26" t="s">
        <v>629</v>
      </c>
    </row>
    <row r="49" customFormat="false" ht="39.75" hidden="false" customHeight="true" outlineLevel="0" collapsed="false">
      <c r="A49" s="24" t="s">
        <v>277</v>
      </c>
      <c r="B49" s="24" t="s">
        <v>278</v>
      </c>
      <c r="C49" s="24" t="s">
        <v>279</v>
      </c>
      <c r="D49" s="24" t="s">
        <v>191</v>
      </c>
      <c r="E49" s="31" t="s">
        <v>192</v>
      </c>
      <c r="F49" s="26" t="s">
        <v>289</v>
      </c>
      <c r="G49" s="26" t="s">
        <v>290</v>
      </c>
    </row>
    <row r="50" customFormat="false" ht="39.75" hidden="false" customHeight="true" outlineLevel="0" collapsed="false">
      <c r="A50" s="24" t="s">
        <v>277</v>
      </c>
      <c r="B50" s="24" t="s">
        <v>278</v>
      </c>
      <c r="C50" s="24" t="s">
        <v>279</v>
      </c>
      <c r="D50" s="24" t="s">
        <v>195</v>
      </c>
      <c r="E50" s="29" t="s">
        <v>196</v>
      </c>
      <c r="F50" s="26" t="s">
        <v>630</v>
      </c>
      <c r="G50" s="26" t="s">
        <v>596</v>
      </c>
    </row>
    <row r="51" customFormat="false" ht="39.75" hidden="false" customHeight="true" outlineLevel="0" collapsed="false">
      <c r="A51" s="24" t="s">
        <v>291</v>
      </c>
      <c r="B51" s="24" t="s">
        <v>169</v>
      </c>
      <c r="C51" s="24" t="s">
        <v>292</v>
      </c>
      <c r="D51" s="24" t="s">
        <v>171</v>
      </c>
      <c r="E51" s="25" t="s">
        <v>172</v>
      </c>
      <c r="F51" s="26" t="s">
        <v>631</v>
      </c>
      <c r="G51" s="26" t="s">
        <v>632</v>
      </c>
    </row>
    <row r="52" customFormat="false" ht="42" hidden="false" customHeight="true" outlineLevel="0" collapsed="false">
      <c r="A52" s="24" t="s">
        <v>291</v>
      </c>
      <c r="B52" s="24" t="s">
        <v>169</v>
      </c>
      <c r="C52" s="24" t="s">
        <v>292</v>
      </c>
      <c r="D52" s="24" t="s">
        <v>175</v>
      </c>
      <c r="E52" s="27" t="s">
        <v>176</v>
      </c>
      <c r="F52" s="26" t="s">
        <v>295</v>
      </c>
      <c r="G52" s="26" t="s">
        <v>296</v>
      </c>
    </row>
    <row r="53" customFormat="false" ht="39.75" hidden="false" customHeight="true" outlineLevel="0" collapsed="false">
      <c r="A53" s="24" t="s">
        <v>291</v>
      </c>
      <c r="B53" s="24" t="s">
        <v>169</v>
      </c>
      <c r="C53" s="24" t="s">
        <v>292</v>
      </c>
      <c r="D53" s="24" t="s">
        <v>179</v>
      </c>
      <c r="E53" s="28" t="s">
        <v>180</v>
      </c>
      <c r="F53" s="26" t="s">
        <v>297</v>
      </c>
      <c r="G53" s="26" t="s">
        <v>298</v>
      </c>
    </row>
    <row r="54" customFormat="false" ht="39.75" hidden="false" customHeight="true" outlineLevel="0" collapsed="false">
      <c r="A54" s="24" t="s">
        <v>291</v>
      </c>
      <c r="B54" s="24" t="s">
        <v>169</v>
      </c>
      <c r="C54" s="24" t="s">
        <v>292</v>
      </c>
      <c r="D54" s="24" t="s">
        <v>183</v>
      </c>
      <c r="E54" s="29" t="s">
        <v>184</v>
      </c>
      <c r="F54" s="26" t="s">
        <v>299</v>
      </c>
      <c r="G54" s="26" t="s">
        <v>300</v>
      </c>
    </row>
    <row r="55" customFormat="false" ht="126" hidden="false" customHeight="true" outlineLevel="0" collapsed="false">
      <c r="A55" s="24" t="s">
        <v>291</v>
      </c>
      <c r="B55" s="24" t="s">
        <v>169</v>
      </c>
      <c r="C55" s="24" t="s">
        <v>292</v>
      </c>
      <c r="D55" s="24" t="s">
        <v>187</v>
      </c>
      <c r="E55" s="30" t="s">
        <v>188</v>
      </c>
      <c r="F55" s="26" t="s">
        <v>189</v>
      </c>
      <c r="G55" s="26" t="s">
        <v>633</v>
      </c>
    </row>
    <row r="56" customFormat="false" ht="39.75" hidden="false" customHeight="true" outlineLevel="0" collapsed="false">
      <c r="A56" s="24" t="s">
        <v>291</v>
      </c>
      <c r="B56" s="24" t="s">
        <v>169</v>
      </c>
      <c r="C56" s="24" t="s">
        <v>292</v>
      </c>
      <c r="D56" s="24" t="s">
        <v>191</v>
      </c>
      <c r="E56" s="31" t="s">
        <v>192</v>
      </c>
      <c r="F56" s="26" t="s">
        <v>302</v>
      </c>
      <c r="G56" s="26" t="s">
        <v>303</v>
      </c>
    </row>
    <row r="57" customFormat="false" ht="39.75" hidden="false" customHeight="true" outlineLevel="0" collapsed="false">
      <c r="A57" s="24" t="s">
        <v>291</v>
      </c>
      <c r="B57" s="24" t="s">
        <v>169</v>
      </c>
      <c r="C57" s="24" t="s">
        <v>292</v>
      </c>
      <c r="D57" s="24" t="s">
        <v>195</v>
      </c>
      <c r="E57" s="29" t="s">
        <v>196</v>
      </c>
      <c r="F57" s="26" t="s">
        <v>634</v>
      </c>
      <c r="G57" s="26" t="s">
        <v>596</v>
      </c>
    </row>
    <row r="58" customFormat="false" ht="39.75" hidden="false" customHeight="true" outlineLevel="0" collapsed="false">
      <c r="A58" s="24" t="s">
        <v>304</v>
      </c>
      <c r="B58" s="24" t="s">
        <v>200</v>
      </c>
      <c r="C58" s="24" t="s">
        <v>305</v>
      </c>
      <c r="D58" s="24" t="s">
        <v>171</v>
      </c>
      <c r="E58" s="25" t="s">
        <v>172</v>
      </c>
      <c r="F58" s="26" t="s">
        <v>635</v>
      </c>
      <c r="G58" s="26" t="s">
        <v>636</v>
      </c>
    </row>
    <row r="59" customFormat="false" ht="55.5" hidden="false" customHeight="true" outlineLevel="0" collapsed="false">
      <c r="A59" s="24" t="s">
        <v>304</v>
      </c>
      <c r="B59" s="24" t="s">
        <v>200</v>
      </c>
      <c r="C59" s="24" t="s">
        <v>305</v>
      </c>
      <c r="D59" s="24" t="s">
        <v>175</v>
      </c>
      <c r="E59" s="27" t="s">
        <v>176</v>
      </c>
      <c r="F59" s="26" t="s">
        <v>308</v>
      </c>
      <c r="G59" s="26" t="s">
        <v>309</v>
      </c>
    </row>
    <row r="60" customFormat="false" ht="39.75" hidden="false" customHeight="true" outlineLevel="0" collapsed="false">
      <c r="A60" s="24" t="s">
        <v>304</v>
      </c>
      <c r="B60" s="24" t="s">
        <v>200</v>
      </c>
      <c r="C60" s="24" t="s">
        <v>305</v>
      </c>
      <c r="D60" s="24" t="s">
        <v>179</v>
      </c>
      <c r="E60" s="28" t="s">
        <v>180</v>
      </c>
      <c r="F60" s="26" t="s">
        <v>310</v>
      </c>
      <c r="G60" s="26" t="s">
        <v>311</v>
      </c>
    </row>
    <row r="61" customFormat="false" ht="39.75" hidden="false" customHeight="true" outlineLevel="0" collapsed="false">
      <c r="A61" s="24" t="s">
        <v>304</v>
      </c>
      <c r="B61" s="24" t="s">
        <v>200</v>
      </c>
      <c r="C61" s="24" t="s">
        <v>305</v>
      </c>
      <c r="D61" s="24" t="s">
        <v>183</v>
      </c>
      <c r="E61" s="29" t="s">
        <v>184</v>
      </c>
      <c r="F61" s="26" t="s">
        <v>637</v>
      </c>
      <c r="G61" s="26" t="s">
        <v>638</v>
      </c>
    </row>
    <row r="62" customFormat="false" ht="111.75" hidden="false" customHeight="true" outlineLevel="0" collapsed="false">
      <c r="A62" s="24" t="s">
        <v>304</v>
      </c>
      <c r="B62" s="24" t="s">
        <v>200</v>
      </c>
      <c r="C62" s="24" t="s">
        <v>305</v>
      </c>
      <c r="D62" s="24" t="s">
        <v>187</v>
      </c>
      <c r="E62" s="30" t="s">
        <v>188</v>
      </c>
      <c r="F62" s="26" t="s">
        <v>189</v>
      </c>
      <c r="G62" s="26" t="s">
        <v>610</v>
      </c>
    </row>
    <row r="63" customFormat="false" ht="39.75" hidden="false" customHeight="true" outlineLevel="0" collapsed="false">
      <c r="A63" s="24" t="s">
        <v>304</v>
      </c>
      <c r="B63" s="24" t="s">
        <v>200</v>
      </c>
      <c r="C63" s="24" t="s">
        <v>305</v>
      </c>
      <c r="D63" s="24" t="s">
        <v>191</v>
      </c>
      <c r="E63" s="31" t="s">
        <v>192</v>
      </c>
      <c r="F63" s="26" t="s">
        <v>314</v>
      </c>
      <c r="G63" s="26" t="s">
        <v>315</v>
      </c>
    </row>
    <row r="64" customFormat="false" ht="39.75" hidden="false" customHeight="true" outlineLevel="0" collapsed="false">
      <c r="A64" s="24" t="s">
        <v>304</v>
      </c>
      <c r="B64" s="24" t="s">
        <v>200</v>
      </c>
      <c r="C64" s="24" t="s">
        <v>305</v>
      </c>
      <c r="D64" s="24" t="s">
        <v>195</v>
      </c>
      <c r="E64" s="29" t="s">
        <v>196</v>
      </c>
      <c r="F64" s="26" t="s">
        <v>618</v>
      </c>
      <c r="G64" s="26" t="s">
        <v>619</v>
      </c>
    </row>
    <row r="65" customFormat="false" ht="39.75" hidden="false" customHeight="true" outlineLevel="0" collapsed="false">
      <c r="A65" s="32" t="s">
        <v>316</v>
      </c>
      <c r="B65" s="32" t="s">
        <v>216</v>
      </c>
      <c r="C65" s="32" t="s">
        <v>317</v>
      </c>
      <c r="D65" s="24" t="s">
        <v>171</v>
      </c>
      <c r="E65" s="25" t="s">
        <v>172</v>
      </c>
      <c r="F65" s="26" t="s">
        <v>639</v>
      </c>
      <c r="G65" s="26" t="s">
        <v>640</v>
      </c>
    </row>
    <row r="66" customFormat="false" ht="55.5" hidden="false" customHeight="true" outlineLevel="0" collapsed="false">
      <c r="A66" s="24" t="s">
        <v>316</v>
      </c>
      <c r="B66" s="24" t="s">
        <v>216</v>
      </c>
      <c r="C66" s="24" t="s">
        <v>317</v>
      </c>
      <c r="D66" s="24" t="s">
        <v>175</v>
      </c>
      <c r="E66" s="27" t="s">
        <v>176</v>
      </c>
      <c r="F66" s="26" t="s">
        <v>320</v>
      </c>
      <c r="G66" s="26" t="s">
        <v>321</v>
      </c>
    </row>
    <row r="67" customFormat="false" ht="39.75" hidden="false" customHeight="true" outlineLevel="0" collapsed="false">
      <c r="A67" s="24" t="s">
        <v>316</v>
      </c>
      <c r="B67" s="24" t="s">
        <v>216</v>
      </c>
      <c r="C67" s="24" t="s">
        <v>317</v>
      </c>
      <c r="D67" s="24" t="s">
        <v>179</v>
      </c>
      <c r="E67" s="28" t="s">
        <v>180</v>
      </c>
      <c r="F67" s="26" t="s">
        <v>322</v>
      </c>
      <c r="G67" s="26" t="s">
        <v>323</v>
      </c>
    </row>
    <row r="68" customFormat="false" ht="39.75" hidden="false" customHeight="true" outlineLevel="0" collapsed="false">
      <c r="A68" s="24" t="s">
        <v>316</v>
      </c>
      <c r="B68" s="24" t="s">
        <v>216</v>
      </c>
      <c r="C68" s="24" t="s">
        <v>317</v>
      </c>
      <c r="D68" s="24" t="s">
        <v>183</v>
      </c>
      <c r="E68" s="29" t="s">
        <v>184</v>
      </c>
      <c r="F68" s="26" t="s">
        <v>324</v>
      </c>
      <c r="G68" s="26" t="s">
        <v>325</v>
      </c>
    </row>
    <row r="69" customFormat="false" ht="111.75" hidden="false" customHeight="true" outlineLevel="0" collapsed="false">
      <c r="A69" s="24" t="s">
        <v>316</v>
      </c>
      <c r="B69" s="24" t="s">
        <v>216</v>
      </c>
      <c r="C69" s="24" t="s">
        <v>317</v>
      </c>
      <c r="D69" s="24" t="s">
        <v>187</v>
      </c>
      <c r="E69" s="30" t="s">
        <v>188</v>
      </c>
      <c r="F69" s="26" t="s">
        <v>189</v>
      </c>
      <c r="G69" s="26" t="s">
        <v>641</v>
      </c>
    </row>
    <row r="70" customFormat="false" ht="39.75" hidden="false" customHeight="true" outlineLevel="0" collapsed="false">
      <c r="A70" s="24" t="s">
        <v>316</v>
      </c>
      <c r="B70" s="24" t="s">
        <v>216</v>
      </c>
      <c r="C70" s="24" t="s">
        <v>317</v>
      </c>
      <c r="D70" s="24" t="s">
        <v>191</v>
      </c>
      <c r="E70" s="31" t="s">
        <v>192</v>
      </c>
      <c r="F70" s="26" t="s">
        <v>327</v>
      </c>
      <c r="G70" s="26" t="s">
        <v>328</v>
      </c>
    </row>
    <row r="71" customFormat="false" ht="39.75" hidden="false" customHeight="true" outlineLevel="0" collapsed="false">
      <c r="A71" s="24" t="s">
        <v>316</v>
      </c>
      <c r="B71" s="24" t="s">
        <v>216</v>
      </c>
      <c r="C71" s="24" t="s">
        <v>317</v>
      </c>
      <c r="D71" s="24" t="s">
        <v>195</v>
      </c>
      <c r="E71" s="29" t="s">
        <v>196</v>
      </c>
      <c r="F71" s="26" t="s">
        <v>642</v>
      </c>
      <c r="G71" s="26" t="s">
        <v>596</v>
      </c>
    </row>
    <row r="72" customFormat="false" ht="39.75" hidden="false" customHeight="true" outlineLevel="0" collapsed="false">
      <c r="A72" s="24" t="s">
        <v>331</v>
      </c>
      <c r="B72" s="24" t="s">
        <v>232</v>
      </c>
      <c r="C72" s="24" t="s">
        <v>332</v>
      </c>
      <c r="D72" s="24" t="s">
        <v>171</v>
      </c>
      <c r="E72" s="25" t="s">
        <v>172</v>
      </c>
      <c r="F72" s="26" t="s">
        <v>643</v>
      </c>
      <c r="G72" s="26" t="s">
        <v>644</v>
      </c>
    </row>
    <row r="73" customFormat="false" ht="55.5" hidden="false" customHeight="true" outlineLevel="0" collapsed="false">
      <c r="A73" s="24" t="s">
        <v>331</v>
      </c>
      <c r="B73" s="24" t="s">
        <v>232</v>
      </c>
      <c r="C73" s="24" t="s">
        <v>332</v>
      </c>
      <c r="D73" s="24" t="s">
        <v>175</v>
      </c>
      <c r="E73" s="27" t="s">
        <v>176</v>
      </c>
      <c r="F73" s="26" t="s">
        <v>335</v>
      </c>
      <c r="G73" s="26" t="s">
        <v>336</v>
      </c>
    </row>
    <row r="74" customFormat="false" ht="39.75" hidden="false" customHeight="true" outlineLevel="0" collapsed="false">
      <c r="A74" s="24" t="s">
        <v>331</v>
      </c>
      <c r="B74" s="24" t="s">
        <v>232</v>
      </c>
      <c r="C74" s="24" t="s">
        <v>332</v>
      </c>
      <c r="D74" s="24" t="s">
        <v>179</v>
      </c>
      <c r="E74" s="28" t="s">
        <v>180</v>
      </c>
      <c r="F74" s="26" t="s">
        <v>337</v>
      </c>
      <c r="G74" s="26" t="s">
        <v>338</v>
      </c>
    </row>
    <row r="75" customFormat="false" ht="39.75" hidden="false" customHeight="true" outlineLevel="0" collapsed="false">
      <c r="A75" s="24" t="s">
        <v>331</v>
      </c>
      <c r="B75" s="24" t="s">
        <v>232</v>
      </c>
      <c r="C75" s="24" t="s">
        <v>332</v>
      </c>
      <c r="D75" s="24" t="s">
        <v>183</v>
      </c>
      <c r="E75" s="29" t="s">
        <v>184</v>
      </c>
      <c r="F75" s="26" t="s">
        <v>615</v>
      </c>
      <c r="G75" s="26" t="s">
        <v>616</v>
      </c>
    </row>
    <row r="76" customFormat="false" ht="111.75" hidden="false" customHeight="true" outlineLevel="0" collapsed="false">
      <c r="A76" s="24" t="s">
        <v>331</v>
      </c>
      <c r="B76" s="24" t="s">
        <v>232</v>
      </c>
      <c r="C76" s="24" t="s">
        <v>332</v>
      </c>
      <c r="D76" s="24" t="s">
        <v>187</v>
      </c>
      <c r="E76" s="30" t="s">
        <v>188</v>
      </c>
      <c r="F76" s="26" t="s">
        <v>189</v>
      </c>
      <c r="G76" s="26" t="s">
        <v>645</v>
      </c>
    </row>
    <row r="77" customFormat="false" ht="39.75" hidden="false" customHeight="true" outlineLevel="0" collapsed="false">
      <c r="A77" s="24" t="s">
        <v>331</v>
      </c>
      <c r="B77" s="24" t="s">
        <v>232</v>
      </c>
      <c r="C77" s="24" t="s">
        <v>332</v>
      </c>
      <c r="D77" s="24" t="s">
        <v>191</v>
      </c>
      <c r="E77" s="31" t="s">
        <v>192</v>
      </c>
      <c r="F77" s="26" t="s">
        <v>340</v>
      </c>
      <c r="G77" s="26" t="s">
        <v>341</v>
      </c>
    </row>
    <row r="78" customFormat="false" ht="39.75" hidden="false" customHeight="true" outlineLevel="0" collapsed="false">
      <c r="A78" s="24" t="s">
        <v>331</v>
      </c>
      <c r="B78" s="24" t="s">
        <v>232</v>
      </c>
      <c r="C78" s="24" t="s">
        <v>332</v>
      </c>
      <c r="D78" s="24" t="s">
        <v>195</v>
      </c>
      <c r="E78" s="29" t="s">
        <v>196</v>
      </c>
      <c r="F78" s="26" t="s">
        <v>604</v>
      </c>
      <c r="G78" s="26" t="s">
        <v>605</v>
      </c>
    </row>
    <row r="79" customFormat="false" ht="39.75" hidden="false" customHeight="true" outlineLevel="0" collapsed="false">
      <c r="A79" s="24" t="s">
        <v>342</v>
      </c>
      <c r="B79" s="24" t="s">
        <v>248</v>
      </c>
      <c r="C79" s="24" t="s">
        <v>343</v>
      </c>
      <c r="D79" s="24" t="s">
        <v>171</v>
      </c>
      <c r="E79" s="25" t="s">
        <v>172</v>
      </c>
      <c r="F79" s="26" t="s">
        <v>646</v>
      </c>
      <c r="G79" s="26" t="s">
        <v>647</v>
      </c>
    </row>
    <row r="80" customFormat="false" ht="55.5" hidden="false" customHeight="true" outlineLevel="0" collapsed="false">
      <c r="A80" s="24" t="s">
        <v>342</v>
      </c>
      <c r="B80" s="24" t="s">
        <v>248</v>
      </c>
      <c r="C80" s="24" t="s">
        <v>343</v>
      </c>
      <c r="D80" s="24" t="s">
        <v>175</v>
      </c>
      <c r="E80" s="27" t="s">
        <v>176</v>
      </c>
      <c r="F80" s="26" t="s">
        <v>346</v>
      </c>
      <c r="G80" s="26" t="s">
        <v>347</v>
      </c>
    </row>
    <row r="81" customFormat="false" ht="39.75" hidden="false" customHeight="true" outlineLevel="0" collapsed="false">
      <c r="A81" s="24" t="s">
        <v>342</v>
      </c>
      <c r="B81" s="24" t="s">
        <v>248</v>
      </c>
      <c r="C81" s="24" t="s">
        <v>343</v>
      </c>
      <c r="D81" s="24" t="s">
        <v>179</v>
      </c>
      <c r="E81" s="28" t="s">
        <v>180</v>
      </c>
      <c r="F81" s="26" t="s">
        <v>348</v>
      </c>
      <c r="G81" s="26" t="s">
        <v>349</v>
      </c>
    </row>
    <row r="82" customFormat="false" ht="39.75" hidden="false" customHeight="true" outlineLevel="0" collapsed="false">
      <c r="A82" s="24" t="s">
        <v>342</v>
      </c>
      <c r="B82" s="24" t="s">
        <v>248</v>
      </c>
      <c r="C82" s="24" t="s">
        <v>343</v>
      </c>
      <c r="D82" s="24" t="s">
        <v>183</v>
      </c>
      <c r="E82" s="29" t="s">
        <v>184</v>
      </c>
      <c r="F82" s="26" t="s">
        <v>350</v>
      </c>
      <c r="G82" s="26" t="s">
        <v>351</v>
      </c>
    </row>
    <row r="83" customFormat="false" ht="111.75" hidden="false" customHeight="true" outlineLevel="0" collapsed="false">
      <c r="A83" s="24" t="s">
        <v>342</v>
      </c>
      <c r="B83" s="24" t="s">
        <v>248</v>
      </c>
      <c r="C83" s="24" t="s">
        <v>343</v>
      </c>
      <c r="D83" s="24" t="s">
        <v>187</v>
      </c>
      <c r="E83" s="30" t="s">
        <v>188</v>
      </c>
      <c r="F83" s="26" t="s">
        <v>189</v>
      </c>
      <c r="G83" s="26" t="s">
        <v>648</v>
      </c>
    </row>
    <row r="84" customFormat="false" ht="39.75" hidden="false" customHeight="true" outlineLevel="0" collapsed="false">
      <c r="A84" s="24" t="s">
        <v>342</v>
      </c>
      <c r="B84" s="24" t="s">
        <v>248</v>
      </c>
      <c r="C84" s="24" t="s">
        <v>343</v>
      </c>
      <c r="D84" s="24" t="s">
        <v>191</v>
      </c>
      <c r="E84" s="31" t="s">
        <v>192</v>
      </c>
      <c r="F84" s="26" t="s">
        <v>353</v>
      </c>
      <c r="G84" s="26" t="s">
        <v>354</v>
      </c>
    </row>
    <row r="85" customFormat="false" ht="39.75" hidden="false" customHeight="true" outlineLevel="0" collapsed="false">
      <c r="A85" s="24" t="s">
        <v>342</v>
      </c>
      <c r="B85" s="24" t="s">
        <v>248</v>
      </c>
      <c r="C85" s="24" t="s">
        <v>343</v>
      </c>
      <c r="D85" s="24" t="s">
        <v>195</v>
      </c>
      <c r="E85" s="29" t="s">
        <v>196</v>
      </c>
      <c r="F85" s="26" t="s">
        <v>611</v>
      </c>
      <c r="G85" s="26" t="s">
        <v>612</v>
      </c>
    </row>
    <row r="86" customFormat="false" ht="39.75" hidden="false" customHeight="true" outlineLevel="0" collapsed="false">
      <c r="A86" s="24" t="s">
        <v>355</v>
      </c>
      <c r="B86" s="24" t="s">
        <v>262</v>
      </c>
      <c r="C86" s="24" t="s">
        <v>356</v>
      </c>
      <c r="D86" s="24" t="s">
        <v>171</v>
      </c>
      <c r="E86" s="25" t="s">
        <v>172</v>
      </c>
      <c r="F86" s="26" t="s">
        <v>357</v>
      </c>
      <c r="G86" s="26" t="s">
        <v>358</v>
      </c>
    </row>
    <row r="87" customFormat="false" ht="55.5" hidden="false" customHeight="true" outlineLevel="0" collapsed="false">
      <c r="A87" s="24" t="s">
        <v>355</v>
      </c>
      <c r="B87" s="24" t="s">
        <v>262</v>
      </c>
      <c r="C87" s="24" t="s">
        <v>356</v>
      </c>
      <c r="D87" s="24" t="s">
        <v>175</v>
      </c>
      <c r="E87" s="27" t="s">
        <v>176</v>
      </c>
      <c r="F87" s="26" t="s">
        <v>359</v>
      </c>
      <c r="G87" s="26" t="s">
        <v>360</v>
      </c>
    </row>
    <row r="88" customFormat="false" ht="39.75" hidden="false" customHeight="true" outlineLevel="0" collapsed="false">
      <c r="A88" s="24" t="s">
        <v>355</v>
      </c>
      <c r="B88" s="24" t="s">
        <v>262</v>
      </c>
      <c r="C88" s="24" t="s">
        <v>356</v>
      </c>
      <c r="D88" s="24" t="s">
        <v>179</v>
      </c>
      <c r="E88" s="28" t="s">
        <v>180</v>
      </c>
      <c r="F88" s="26" t="s">
        <v>361</v>
      </c>
      <c r="G88" s="26" t="s">
        <v>362</v>
      </c>
    </row>
    <row r="89" customFormat="false" ht="39.75" hidden="false" customHeight="true" outlineLevel="0" collapsed="false">
      <c r="A89" s="24" t="s">
        <v>355</v>
      </c>
      <c r="B89" s="24" t="s">
        <v>262</v>
      </c>
      <c r="C89" s="24" t="s">
        <v>356</v>
      </c>
      <c r="D89" s="24" t="s">
        <v>183</v>
      </c>
      <c r="E89" s="29" t="s">
        <v>184</v>
      </c>
      <c r="F89" s="26" t="s">
        <v>592</v>
      </c>
      <c r="G89" s="26" t="s">
        <v>593</v>
      </c>
    </row>
    <row r="90" customFormat="false" ht="111.75" hidden="false" customHeight="true" outlineLevel="0" collapsed="false">
      <c r="A90" s="24" t="s">
        <v>355</v>
      </c>
      <c r="B90" s="24" t="s">
        <v>262</v>
      </c>
      <c r="C90" s="24" t="s">
        <v>356</v>
      </c>
      <c r="D90" s="24" t="s">
        <v>187</v>
      </c>
      <c r="E90" s="30" t="s">
        <v>188</v>
      </c>
      <c r="F90" s="26" t="s">
        <v>189</v>
      </c>
      <c r="G90" s="26" t="s">
        <v>649</v>
      </c>
    </row>
    <row r="91" customFormat="false" ht="39.75" hidden="false" customHeight="true" outlineLevel="0" collapsed="false">
      <c r="A91" s="24" t="s">
        <v>355</v>
      </c>
      <c r="B91" s="24" t="s">
        <v>262</v>
      </c>
      <c r="C91" s="24" t="s">
        <v>356</v>
      </c>
      <c r="D91" s="24" t="s">
        <v>191</v>
      </c>
      <c r="E91" s="31" t="s">
        <v>192</v>
      </c>
      <c r="F91" s="26" t="s">
        <v>364</v>
      </c>
      <c r="G91" s="26" t="s">
        <v>365</v>
      </c>
    </row>
    <row r="92" customFormat="false" ht="39.75" hidden="false" customHeight="true" outlineLevel="0" collapsed="false">
      <c r="A92" s="24" t="s">
        <v>355</v>
      </c>
      <c r="B92" s="24" t="s">
        <v>262</v>
      </c>
      <c r="C92" s="24" t="s">
        <v>356</v>
      </c>
      <c r="D92" s="24" t="s">
        <v>195</v>
      </c>
      <c r="E92" s="29" t="s">
        <v>196</v>
      </c>
      <c r="F92" s="26" t="s">
        <v>618</v>
      </c>
      <c r="G92" s="26" t="s">
        <v>619</v>
      </c>
    </row>
    <row r="93" customFormat="false" ht="39.75" hidden="false" customHeight="true" outlineLevel="0" collapsed="false">
      <c r="A93" s="24" t="s">
        <v>366</v>
      </c>
      <c r="B93" s="24" t="s">
        <v>278</v>
      </c>
      <c r="C93" s="24" t="s">
        <v>367</v>
      </c>
      <c r="D93" s="24" t="s">
        <v>171</v>
      </c>
      <c r="E93" s="25" t="s">
        <v>172</v>
      </c>
      <c r="F93" s="26" t="s">
        <v>368</v>
      </c>
      <c r="G93" s="26" t="s">
        <v>369</v>
      </c>
    </row>
    <row r="94" customFormat="false" ht="55.5" hidden="false" customHeight="true" outlineLevel="0" collapsed="false">
      <c r="A94" s="24" t="s">
        <v>366</v>
      </c>
      <c r="B94" s="24" t="s">
        <v>278</v>
      </c>
      <c r="C94" s="24" t="s">
        <v>367</v>
      </c>
      <c r="D94" s="24" t="s">
        <v>175</v>
      </c>
      <c r="E94" s="27" t="s">
        <v>176</v>
      </c>
      <c r="F94" s="26" t="s">
        <v>370</v>
      </c>
      <c r="G94" s="26" t="s">
        <v>371</v>
      </c>
    </row>
    <row r="95" customFormat="false" ht="39.75" hidden="false" customHeight="true" outlineLevel="0" collapsed="false">
      <c r="A95" s="24" t="s">
        <v>366</v>
      </c>
      <c r="B95" s="24" t="s">
        <v>278</v>
      </c>
      <c r="C95" s="24" t="s">
        <v>367</v>
      </c>
      <c r="D95" s="24" t="s">
        <v>179</v>
      </c>
      <c r="E95" s="28" t="s">
        <v>180</v>
      </c>
      <c r="F95" s="26" t="s">
        <v>372</v>
      </c>
      <c r="G95" s="26" t="s">
        <v>373</v>
      </c>
    </row>
    <row r="96" customFormat="false" ht="39.75" hidden="false" customHeight="true" outlineLevel="0" collapsed="false">
      <c r="A96" s="24" t="s">
        <v>366</v>
      </c>
      <c r="B96" s="24" t="s">
        <v>278</v>
      </c>
      <c r="C96" s="24" t="s">
        <v>367</v>
      </c>
      <c r="D96" s="24" t="s">
        <v>183</v>
      </c>
      <c r="E96" s="29" t="s">
        <v>184</v>
      </c>
      <c r="F96" s="26" t="s">
        <v>650</v>
      </c>
      <c r="G96" s="26" t="s">
        <v>651</v>
      </c>
    </row>
    <row r="97" customFormat="false" ht="126" hidden="false" customHeight="true" outlineLevel="0" collapsed="false">
      <c r="A97" s="24" t="s">
        <v>366</v>
      </c>
      <c r="B97" s="24" t="s">
        <v>278</v>
      </c>
      <c r="C97" s="24" t="s">
        <v>367</v>
      </c>
      <c r="D97" s="24" t="s">
        <v>187</v>
      </c>
      <c r="E97" s="30" t="s">
        <v>188</v>
      </c>
      <c r="F97" s="26" t="s">
        <v>189</v>
      </c>
      <c r="G97" s="26" t="s">
        <v>652</v>
      </c>
    </row>
    <row r="98" customFormat="false" ht="39.75" hidden="false" customHeight="true" outlineLevel="0" collapsed="false">
      <c r="A98" s="24" t="s">
        <v>366</v>
      </c>
      <c r="B98" s="24" t="s">
        <v>278</v>
      </c>
      <c r="C98" s="24" t="s">
        <v>367</v>
      </c>
      <c r="D98" s="24" t="s">
        <v>191</v>
      </c>
      <c r="E98" s="31" t="s">
        <v>192</v>
      </c>
      <c r="F98" s="26" t="s">
        <v>377</v>
      </c>
      <c r="G98" s="26" t="s">
        <v>378</v>
      </c>
    </row>
    <row r="99" customFormat="false" ht="39.75" hidden="false" customHeight="true" outlineLevel="0" collapsed="false">
      <c r="A99" s="24" t="s">
        <v>366</v>
      </c>
      <c r="B99" s="24" t="s">
        <v>278</v>
      </c>
      <c r="C99" s="24" t="s">
        <v>367</v>
      </c>
      <c r="D99" s="24" t="s">
        <v>195</v>
      </c>
      <c r="E99" s="29" t="s">
        <v>196</v>
      </c>
      <c r="F99" s="26" t="s">
        <v>379</v>
      </c>
      <c r="G99" s="26" t="s">
        <v>380</v>
      </c>
    </row>
    <row r="100" customFormat="false" ht="39.75" hidden="false" customHeight="true" outlineLevel="0" collapsed="false">
      <c r="A100" s="24" t="s">
        <v>381</v>
      </c>
      <c r="B100" s="24" t="s">
        <v>169</v>
      </c>
      <c r="C100" s="24" t="s">
        <v>382</v>
      </c>
      <c r="D100" s="24" t="s">
        <v>171</v>
      </c>
      <c r="E100" s="25" t="s">
        <v>172</v>
      </c>
      <c r="F100" s="26" t="s">
        <v>653</v>
      </c>
      <c r="G100" s="26" t="s">
        <v>654</v>
      </c>
    </row>
    <row r="101" customFormat="false" ht="55.5" hidden="false" customHeight="true" outlineLevel="0" collapsed="false">
      <c r="A101" s="24" t="s">
        <v>381</v>
      </c>
      <c r="B101" s="24" t="s">
        <v>169</v>
      </c>
      <c r="C101" s="24" t="s">
        <v>382</v>
      </c>
      <c r="D101" s="24" t="s">
        <v>175</v>
      </c>
      <c r="E101" s="27" t="s">
        <v>176</v>
      </c>
      <c r="F101" s="26" t="s">
        <v>385</v>
      </c>
      <c r="G101" s="26" t="s">
        <v>386</v>
      </c>
    </row>
    <row r="102" customFormat="false" ht="39.75" hidden="false" customHeight="true" outlineLevel="0" collapsed="false">
      <c r="A102" s="24" t="s">
        <v>381</v>
      </c>
      <c r="B102" s="24" t="s">
        <v>169</v>
      </c>
      <c r="C102" s="24" t="s">
        <v>382</v>
      </c>
      <c r="D102" s="24" t="s">
        <v>179</v>
      </c>
      <c r="E102" s="28" t="s">
        <v>180</v>
      </c>
      <c r="F102" s="26" t="s">
        <v>387</v>
      </c>
      <c r="G102" s="26" t="s">
        <v>388</v>
      </c>
    </row>
    <row r="103" customFormat="false" ht="39.75" hidden="false" customHeight="true" outlineLevel="0" collapsed="false">
      <c r="A103" s="24" t="s">
        <v>381</v>
      </c>
      <c r="B103" s="24" t="s">
        <v>169</v>
      </c>
      <c r="C103" s="24" t="s">
        <v>382</v>
      </c>
      <c r="D103" s="24" t="s">
        <v>183</v>
      </c>
      <c r="E103" s="29" t="s">
        <v>184</v>
      </c>
      <c r="F103" s="26" t="s">
        <v>637</v>
      </c>
      <c r="G103" s="26" t="s">
        <v>638</v>
      </c>
    </row>
    <row r="104" customFormat="false" ht="126" hidden="false" customHeight="true" outlineLevel="0" collapsed="false">
      <c r="A104" s="24" t="s">
        <v>381</v>
      </c>
      <c r="B104" s="24" t="s">
        <v>169</v>
      </c>
      <c r="C104" s="24" t="s">
        <v>382</v>
      </c>
      <c r="D104" s="24" t="s">
        <v>187</v>
      </c>
      <c r="E104" s="30" t="s">
        <v>188</v>
      </c>
      <c r="F104" s="26" t="s">
        <v>189</v>
      </c>
      <c r="G104" s="26" t="s">
        <v>655</v>
      </c>
    </row>
    <row r="105" customFormat="false" ht="39.75" hidden="false" customHeight="true" outlineLevel="0" collapsed="false">
      <c r="A105" s="24" t="s">
        <v>381</v>
      </c>
      <c r="B105" s="24" t="s">
        <v>169</v>
      </c>
      <c r="C105" s="24" t="s">
        <v>382</v>
      </c>
      <c r="D105" s="24" t="s">
        <v>191</v>
      </c>
      <c r="E105" s="31" t="s">
        <v>192</v>
      </c>
      <c r="F105" s="26" t="s">
        <v>390</v>
      </c>
      <c r="G105" s="26" t="s">
        <v>391</v>
      </c>
    </row>
    <row r="106" customFormat="false" ht="39.75" hidden="false" customHeight="true" outlineLevel="0" collapsed="false">
      <c r="A106" s="24" t="s">
        <v>381</v>
      </c>
      <c r="B106" s="24" t="s">
        <v>169</v>
      </c>
      <c r="C106" s="24" t="s">
        <v>382</v>
      </c>
      <c r="D106" s="24" t="s">
        <v>195</v>
      </c>
      <c r="E106" s="29" t="s">
        <v>196</v>
      </c>
      <c r="F106" s="26" t="s">
        <v>604</v>
      </c>
      <c r="G106" s="26" t="s">
        <v>605</v>
      </c>
    </row>
    <row r="107" customFormat="false" ht="39.75" hidden="false" customHeight="true" outlineLevel="0" collapsed="false">
      <c r="A107" s="32" t="s">
        <v>392</v>
      </c>
      <c r="B107" s="32" t="s">
        <v>200</v>
      </c>
      <c r="C107" s="32" t="s">
        <v>393</v>
      </c>
      <c r="D107" s="24" t="s">
        <v>171</v>
      </c>
      <c r="E107" s="25" t="s">
        <v>172</v>
      </c>
      <c r="F107" s="26" t="s">
        <v>656</v>
      </c>
      <c r="G107" s="26" t="s">
        <v>657</v>
      </c>
    </row>
    <row r="108" customFormat="false" ht="42" hidden="false" customHeight="true" outlineLevel="0" collapsed="false">
      <c r="A108" s="24" t="s">
        <v>392</v>
      </c>
      <c r="B108" s="24" t="s">
        <v>200</v>
      </c>
      <c r="C108" s="24" t="s">
        <v>393</v>
      </c>
      <c r="D108" s="24" t="s">
        <v>175</v>
      </c>
      <c r="E108" s="27" t="s">
        <v>176</v>
      </c>
      <c r="F108" s="26" t="s">
        <v>396</v>
      </c>
      <c r="G108" s="26" t="s">
        <v>397</v>
      </c>
    </row>
    <row r="109" customFormat="false" ht="39.75" hidden="false" customHeight="true" outlineLevel="0" collapsed="false">
      <c r="A109" s="24" t="s">
        <v>392</v>
      </c>
      <c r="B109" s="24" t="s">
        <v>200</v>
      </c>
      <c r="C109" s="24" t="s">
        <v>393</v>
      </c>
      <c r="D109" s="24" t="s">
        <v>179</v>
      </c>
      <c r="E109" s="28" t="s">
        <v>180</v>
      </c>
      <c r="F109" s="26" t="s">
        <v>398</v>
      </c>
      <c r="G109" s="26" t="s">
        <v>399</v>
      </c>
    </row>
    <row r="110" customFormat="false" ht="39.75" hidden="false" customHeight="true" outlineLevel="0" collapsed="false">
      <c r="A110" s="24" t="s">
        <v>392</v>
      </c>
      <c r="B110" s="24" t="s">
        <v>200</v>
      </c>
      <c r="C110" s="24" t="s">
        <v>393</v>
      </c>
      <c r="D110" s="24" t="s">
        <v>183</v>
      </c>
      <c r="E110" s="29" t="s">
        <v>184</v>
      </c>
      <c r="F110" s="26" t="s">
        <v>400</v>
      </c>
      <c r="G110" s="26" t="s">
        <v>401</v>
      </c>
    </row>
    <row r="111" customFormat="false" ht="111.75" hidden="false" customHeight="true" outlineLevel="0" collapsed="false">
      <c r="A111" s="24" t="s">
        <v>392</v>
      </c>
      <c r="B111" s="24" t="s">
        <v>200</v>
      </c>
      <c r="C111" s="24" t="s">
        <v>393</v>
      </c>
      <c r="D111" s="24" t="s">
        <v>187</v>
      </c>
      <c r="E111" s="30" t="s">
        <v>188</v>
      </c>
      <c r="F111" s="26" t="s">
        <v>189</v>
      </c>
      <c r="G111" s="26" t="s">
        <v>658</v>
      </c>
    </row>
    <row r="112" customFormat="false" ht="39.75" hidden="false" customHeight="true" outlineLevel="0" collapsed="false">
      <c r="A112" s="24" t="s">
        <v>392</v>
      </c>
      <c r="B112" s="24" t="s">
        <v>200</v>
      </c>
      <c r="C112" s="24" t="s">
        <v>393</v>
      </c>
      <c r="D112" s="24" t="s">
        <v>191</v>
      </c>
      <c r="E112" s="31" t="s">
        <v>192</v>
      </c>
      <c r="F112" s="26" t="s">
        <v>403</v>
      </c>
      <c r="G112" s="26" t="s">
        <v>404</v>
      </c>
    </row>
    <row r="113" customFormat="false" ht="39.75" hidden="false" customHeight="true" outlineLevel="0" collapsed="false">
      <c r="A113" s="24" t="s">
        <v>392</v>
      </c>
      <c r="B113" s="24" t="s">
        <v>200</v>
      </c>
      <c r="C113" s="24" t="s">
        <v>393</v>
      </c>
      <c r="D113" s="24" t="s">
        <v>195</v>
      </c>
      <c r="E113" s="29" t="s">
        <v>196</v>
      </c>
      <c r="F113" s="26" t="s">
        <v>659</v>
      </c>
      <c r="G113" s="26" t="s">
        <v>596</v>
      </c>
    </row>
    <row r="114" customFormat="false" ht="39.75" hidden="false" customHeight="true" outlineLevel="0" collapsed="false">
      <c r="A114" s="24" t="s">
        <v>407</v>
      </c>
      <c r="B114" s="24" t="s">
        <v>216</v>
      </c>
      <c r="C114" s="24" t="s">
        <v>408</v>
      </c>
      <c r="D114" s="24" t="s">
        <v>171</v>
      </c>
      <c r="E114" s="25" t="s">
        <v>172</v>
      </c>
      <c r="F114" s="26" t="s">
        <v>660</v>
      </c>
      <c r="G114" s="26" t="s">
        <v>661</v>
      </c>
    </row>
    <row r="115" customFormat="false" ht="42" hidden="false" customHeight="true" outlineLevel="0" collapsed="false">
      <c r="A115" s="24" t="s">
        <v>407</v>
      </c>
      <c r="B115" s="24" t="s">
        <v>216</v>
      </c>
      <c r="C115" s="24" t="s">
        <v>408</v>
      </c>
      <c r="D115" s="24" t="s">
        <v>175</v>
      </c>
      <c r="E115" s="27" t="s">
        <v>176</v>
      </c>
      <c r="F115" s="26" t="s">
        <v>411</v>
      </c>
      <c r="G115" s="26" t="s">
        <v>412</v>
      </c>
    </row>
    <row r="116" customFormat="false" ht="39.75" hidden="false" customHeight="true" outlineLevel="0" collapsed="false">
      <c r="A116" s="24" t="s">
        <v>407</v>
      </c>
      <c r="B116" s="24" t="s">
        <v>216</v>
      </c>
      <c r="C116" s="24" t="s">
        <v>408</v>
      </c>
      <c r="D116" s="24" t="s">
        <v>179</v>
      </c>
      <c r="E116" s="28" t="s">
        <v>180</v>
      </c>
      <c r="F116" s="26" t="s">
        <v>413</v>
      </c>
      <c r="G116" s="26" t="s">
        <v>414</v>
      </c>
    </row>
    <row r="117" customFormat="false" ht="39.75" hidden="false" customHeight="true" outlineLevel="0" collapsed="false">
      <c r="A117" s="24" t="s">
        <v>407</v>
      </c>
      <c r="B117" s="24" t="s">
        <v>216</v>
      </c>
      <c r="C117" s="24" t="s">
        <v>408</v>
      </c>
      <c r="D117" s="24" t="s">
        <v>183</v>
      </c>
      <c r="E117" s="29" t="s">
        <v>184</v>
      </c>
      <c r="F117" s="26" t="s">
        <v>415</v>
      </c>
      <c r="G117" s="26" t="s">
        <v>416</v>
      </c>
    </row>
    <row r="118" customFormat="false" ht="111.75" hidden="false" customHeight="true" outlineLevel="0" collapsed="false">
      <c r="A118" s="24" t="s">
        <v>407</v>
      </c>
      <c r="B118" s="24" t="s">
        <v>216</v>
      </c>
      <c r="C118" s="24" t="s">
        <v>408</v>
      </c>
      <c r="D118" s="24" t="s">
        <v>187</v>
      </c>
      <c r="E118" s="30" t="s">
        <v>188</v>
      </c>
      <c r="F118" s="26" t="s">
        <v>189</v>
      </c>
      <c r="G118" s="26" t="s">
        <v>662</v>
      </c>
    </row>
    <row r="119" customFormat="false" ht="39.75" hidden="false" customHeight="true" outlineLevel="0" collapsed="false">
      <c r="A119" s="24" t="s">
        <v>407</v>
      </c>
      <c r="B119" s="24" t="s">
        <v>216</v>
      </c>
      <c r="C119" s="24" t="s">
        <v>408</v>
      </c>
      <c r="D119" s="24" t="s">
        <v>191</v>
      </c>
      <c r="E119" s="31" t="s">
        <v>192</v>
      </c>
      <c r="F119" s="26" t="s">
        <v>418</v>
      </c>
      <c r="G119" s="26" t="s">
        <v>419</v>
      </c>
    </row>
    <row r="120" customFormat="false" ht="39.75" hidden="false" customHeight="true" outlineLevel="0" collapsed="false">
      <c r="A120" s="24" t="s">
        <v>407</v>
      </c>
      <c r="B120" s="24" t="s">
        <v>216</v>
      </c>
      <c r="C120" s="24" t="s">
        <v>408</v>
      </c>
      <c r="D120" s="24" t="s">
        <v>195</v>
      </c>
      <c r="E120" s="29" t="s">
        <v>196</v>
      </c>
      <c r="F120" s="26" t="s">
        <v>618</v>
      </c>
      <c r="G120" s="26" t="s">
        <v>619</v>
      </c>
    </row>
    <row r="121" customFormat="false" ht="39.75" hidden="false" customHeight="true" outlineLevel="0" collapsed="false">
      <c r="A121" s="24" t="s">
        <v>420</v>
      </c>
      <c r="B121" s="24" t="s">
        <v>232</v>
      </c>
      <c r="C121" s="24" t="s">
        <v>421</v>
      </c>
      <c r="D121" s="24" t="s">
        <v>171</v>
      </c>
      <c r="E121" s="25" t="s">
        <v>172</v>
      </c>
      <c r="F121" s="26" t="s">
        <v>663</v>
      </c>
      <c r="G121" s="26" t="s">
        <v>664</v>
      </c>
    </row>
    <row r="122" customFormat="false" ht="42" hidden="false" customHeight="true" outlineLevel="0" collapsed="false">
      <c r="A122" s="24" t="s">
        <v>420</v>
      </c>
      <c r="B122" s="24" t="s">
        <v>232</v>
      </c>
      <c r="C122" s="24" t="s">
        <v>421</v>
      </c>
      <c r="D122" s="24" t="s">
        <v>175</v>
      </c>
      <c r="E122" s="27" t="s">
        <v>176</v>
      </c>
      <c r="F122" s="26" t="s">
        <v>424</v>
      </c>
      <c r="G122" s="26" t="s">
        <v>425</v>
      </c>
    </row>
    <row r="123" customFormat="false" ht="39.75" hidden="false" customHeight="true" outlineLevel="0" collapsed="false">
      <c r="A123" s="24" t="s">
        <v>420</v>
      </c>
      <c r="B123" s="24" t="s">
        <v>232</v>
      </c>
      <c r="C123" s="24" t="s">
        <v>421</v>
      </c>
      <c r="D123" s="24" t="s">
        <v>179</v>
      </c>
      <c r="E123" s="28" t="s">
        <v>180</v>
      </c>
      <c r="F123" s="26" t="s">
        <v>426</v>
      </c>
      <c r="G123" s="26" t="s">
        <v>427</v>
      </c>
    </row>
    <row r="124" customFormat="false" ht="39.75" hidden="false" customHeight="true" outlineLevel="0" collapsed="false">
      <c r="A124" s="24" t="s">
        <v>420</v>
      </c>
      <c r="B124" s="24" t="s">
        <v>232</v>
      </c>
      <c r="C124" s="24" t="s">
        <v>421</v>
      </c>
      <c r="D124" s="24" t="s">
        <v>183</v>
      </c>
      <c r="E124" s="29" t="s">
        <v>184</v>
      </c>
      <c r="F124" s="26" t="s">
        <v>622</v>
      </c>
      <c r="G124" s="26" t="s">
        <v>623</v>
      </c>
    </row>
    <row r="125" customFormat="false" ht="111.75" hidden="false" customHeight="true" outlineLevel="0" collapsed="false">
      <c r="A125" s="24" t="s">
        <v>420</v>
      </c>
      <c r="B125" s="24" t="s">
        <v>232</v>
      </c>
      <c r="C125" s="24" t="s">
        <v>421</v>
      </c>
      <c r="D125" s="24" t="s">
        <v>187</v>
      </c>
      <c r="E125" s="30" t="s">
        <v>188</v>
      </c>
      <c r="F125" s="26" t="s">
        <v>189</v>
      </c>
      <c r="G125" s="26" t="s">
        <v>665</v>
      </c>
    </row>
    <row r="126" customFormat="false" ht="39.75" hidden="false" customHeight="true" outlineLevel="0" collapsed="false">
      <c r="A126" s="24" t="s">
        <v>420</v>
      </c>
      <c r="B126" s="24" t="s">
        <v>232</v>
      </c>
      <c r="C126" s="24" t="s">
        <v>421</v>
      </c>
      <c r="D126" s="24" t="s">
        <v>191</v>
      </c>
      <c r="E126" s="31" t="s">
        <v>192</v>
      </c>
      <c r="F126" s="26" t="s">
        <v>429</v>
      </c>
      <c r="G126" s="26" t="s">
        <v>430</v>
      </c>
    </row>
    <row r="127" customFormat="false" ht="39.75" hidden="false" customHeight="true" outlineLevel="0" collapsed="false">
      <c r="A127" s="24" t="s">
        <v>420</v>
      </c>
      <c r="B127" s="24" t="s">
        <v>232</v>
      </c>
      <c r="C127" s="24" t="s">
        <v>421</v>
      </c>
      <c r="D127" s="24" t="s">
        <v>195</v>
      </c>
      <c r="E127" s="29" t="s">
        <v>196</v>
      </c>
      <c r="F127" s="26" t="s">
        <v>625</v>
      </c>
      <c r="G127" s="26" t="s">
        <v>626</v>
      </c>
    </row>
    <row r="128" customFormat="false" ht="39.75" hidden="false" customHeight="true" outlineLevel="0" collapsed="false">
      <c r="A128" s="24" t="s">
        <v>431</v>
      </c>
      <c r="B128" s="24" t="s">
        <v>248</v>
      </c>
      <c r="C128" s="24" t="s">
        <v>432</v>
      </c>
      <c r="D128" s="24" t="s">
        <v>171</v>
      </c>
      <c r="E128" s="25" t="s">
        <v>172</v>
      </c>
      <c r="F128" s="26" t="s">
        <v>666</v>
      </c>
      <c r="G128" s="26" t="s">
        <v>667</v>
      </c>
    </row>
    <row r="129" customFormat="false" ht="55.5" hidden="false" customHeight="true" outlineLevel="0" collapsed="false">
      <c r="A129" s="24" t="s">
        <v>431</v>
      </c>
      <c r="B129" s="24" t="s">
        <v>248</v>
      </c>
      <c r="C129" s="24" t="s">
        <v>432</v>
      </c>
      <c r="D129" s="24" t="s">
        <v>175</v>
      </c>
      <c r="E129" s="27" t="s">
        <v>176</v>
      </c>
      <c r="F129" s="26" t="s">
        <v>435</v>
      </c>
      <c r="G129" s="26" t="s">
        <v>436</v>
      </c>
    </row>
    <row r="130" customFormat="false" ht="39.75" hidden="false" customHeight="true" outlineLevel="0" collapsed="false">
      <c r="A130" s="24" t="s">
        <v>431</v>
      </c>
      <c r="B130" s="24" t="s">
        <v>248</v>
      </c>
      <c r="C130" s="24" t="s">
        <v>432</v>
      </c>
      <c r="D130" s="24" t="s">
        <v>179</v>
      </c>
      <c r="E130" s="28" t="s">
        <v>180</v>
      </c>
      <c r="F130" s="26" t="s">
        <v>437</v>
      </c>
      <c r="G130" s="26" t="s">
        <v>438</v>
      </c>
    </row>
    <row r="131" customFormat="false" ht="39.75" hidden="false" customHeight="true" outlineLevel="0" collapsed="false">
      <c r="A131" s="24" t="s">
        <v>431</v>
      </c>
      <c r="B131" s="24" t="s">
        <v>248</v>
      </c>
      <c r="C131" s="24" t="s">
        <v>432</v>
      </c>
      <c r="D131" s="24" t="s">
        <v>183</v>
      </c>
      <c r="E131" s="29" t="s">
        <v>184</v>
      </c>
      <c r="F131" s="26" t="s">
        <v>592</v>
      </c>
      <c r="G131" s="26" t="s">
        <v>593</v>
      </c>
    </row>
    <row r="132" customFormat="false" ht="111.75" hidden="false" customHeight="true" outlineLevel="0" collapsed="false">
      <c r="A132" s="24" t="s">
        <v>431</v>
      </c>
      <c r="B132" s="24" t="s">
        <v>248</v>
      </c>
      <c r="C132" s="24" t="s">
        <v>432</v>
      </c>
      <c r="D132" s="24" t="s">
        <v>187</v>
      </c>
      <c r="E132" s="30" t="s">
        <v>188</v>
      </c>
      <c r="F132" s="26" t="s">
        <v>189</v>
      </c>
      <c r="G132" s="26" t="s">
        <v>668</v>
      </c>
    </row>
    <row r="133" customFormat="false" ht="39.75" hidden="false" customHeight="true" outlineLevel="0" collapsed="false">
      <c r="A133" s="24" t="s">
        <v>431</v>
      </c>
      <c r="B133" s="24" t="s">
        <v>248</v>
      </c>
      <c r="C133" s="24" t="s">
        <v>432</v>
      </c>
      <c r="D133" s="24" t="s">
        <v>191</v>
      </c>
      <c r="E133" s="31" t="s">
        <v>192</v>
      </c>
      <c r="F133" s="26" t="s">
        <v>440</v>
      </c>
      <c r="G133" s="26" t="s">
        <v>441</v>
      </c>
    </row>
    <row r="134" customFormat="false" ht="39.75" hidden="false" customHeight="true" outlineLevel="0" collapsed="false">
      <c r="A134" s="24" t="s">
        <v>431</v>
      </c>
      <c r="B134" s="24" t="s">
        <v>248</v>
      </c>
      <c r="C134" s="24" t="s">
        <v>432</v>
      </c>
      <c r="D134" s="24" t="s">
        <v>195</v>
      </c>
      <c r="E134" s="29" t="s">
        <v>196</v>
      </c>
      <c r="F134" s="26" t="s">
        <v>604</v>
      </c>
      <c r="G134" s="26" t="s">
        <v>605</v>
      </c>
    </row>
    <row r="135" customFormat="false" ht="39.75" hidden="false" customHeight="true" outlineLevel="0" collapsed="false">
      <c r="A135" s="24" t="s">
        <v>442</v>
      </c>
      <c r="B135" s="24" t="s">
        <v>262</v>
      </c>
      <c r="C135" s="24" t="s">
        <v>443</v>
      </c>
      <c r="D135" s="24" t="s">
        <v>171</v>
      </c>
      <c r="E135" s="25" t="s">
        <v>172</v>
      </c>
      <c r="F135" s="26" t="s">
        <v>669</v>
      </c>
      <c r="G135" s="26" t="s">
        <v>670</v>
      </c>
    </row>
    <row r="136" customFormat="false" ht="55.5" hidden="false" customHeight="true" outlineLevel="0" collapsed="false">
      <c r="A136" s="24" t="s">
        <v>442</v>
      </c>
      <c r="B136" s="24" t="s">
        <v>262</v>
      </c>
      <c r="C136" s="24" t="s">
        <v>443</v>
      </c>
      <c r="D136" s="24" t="s">
        <v>175</v>
      </c>
      <c r="E136" s="27" t="s">
        <v>176</v>
      </c>
      <c r="F136" s="26" t="s">
        <v>446</v>
      </c>
      <c r="G136" s="26" t="s">
        <v>447</v>
      </c>
    </row>
    <row r="137" customFormat="false" ht="39.75" hidden="false" customHeight="true" outlineLevel="0" collapsed="false">
      <c r="A137" s="24" t="s">
        <v>442</v>
      </c>
      <c r="B137" s="24" t="s">
        <v>262</v>
      </c>
      <c r="C137" s="24" t="s">
        <v>443</v>
      </c>
      <c r="D137" s="24" t="s">
        <v>179</v>
      </c>
      <c r="E137" s="28" t="s">
        <v>180</v>
      </c>
      <c r="F137" s="26" t="s">
        <v>448</v>
      </c>
      <c r="G137" s="26" t="s">
        <v>449</v>
      </c>
    </row>
    <row r="138" customFormat="false" ht="39.75" hidden="false" customHeight="true" outlineLevel="0" collapsed="false">
      <c r="A138" s="24" t="s">
        <v>442</v>
      </c>
      <c r="B138" s="24" t="s">
        <v>262</v>
      </c>
      <c r="C138" s="24" t="s">
        <v>443</v>
      </c>
      <c r="D138" s="24" t="s">
        <v>183</v>
      </c>
      <c r="E138" s="29" t="s">
        <v>184</v>
      </c>
      <c r="F138" s="26" t="s">
        <v>650</v>
      </c>
      <c r="G138" s="26" t="s">
        <v>651</v>
      </c>
    </row>
    <row r="139" customFormat="false" ht="126" hidden="false" customHeight="true" outlineLevel="0" collapsed="false">
      <c r="A139" s="24" t="s">
        <v>442</v>
      </c>
      <c r="B139" s="24" t="s">
        <v>262</v>
      </c>
      <c r="C139" s="24" t="s">
        <v>443</v>
      </c>
      <c r="D139" s="24" t="s">
        <v>187</v>
      </c>
      <c r="E139" s="30" t="s">
        <v>188</v>
      </c>
      <c r="F139" s="26" t="s">
        <v>189</v>
      </c>
      <c r="G139" s="26" t="s">
        <v>671</v>
      </c>
    </row>
    <row r="140" customFormat="false" ht="39.75" hidden="false" customHeight="true" outlineLevel="0" collapsed="false">
      <c r="A140" s="24" t="s">
        <v>442</v>
      </c>
      <c r="B140" s="24" t="s">
        <v>262</v>
      </c>
      <c r="C140" s="24" t="s">
        <v>443</v>
      </c>
      <c r="D140" s="24" t="s">
        <v>191</v>
      </c>
      <c r="E140" s="31" t="s">
        <v>192</v>
      </c>
      <c r="F140" s="26" t="s">
        <v>451</v>
      </c>
      <c r="G140" s="26" t="s">
        <v>452</v>
      </c>
    </row>
    <row r="141" customFormat="false" ht="39.75" hidden="false" customHeight="true" outlineLevel="0" collapsed="false">
      <c r="A141" s="24" t="s">
        <v>442</v>
      </c>
      <c r="B141" s="24" t="s">
        <v>262</v>
      </c>
      <c r="C141" s="24" t="s">
        <v>443</v>
      </c>
      <c r="D141" s="24" t="s">
        <v>195</v>
      </c>
      <c r="E141" s="29" t="s">
        <v>196</v>
      </c>
      <c r="F141" s="26" t="s">
        <v>453</v>
      </c>
      <c r="G141" s="26" t="s">
        <v>454</v>
      </c>
    </row>
    <row r="142" customFormat="false" ht="39.75" hidden="false" customHeight="true" outlineLevel="0" collapsed="false">
      <c r="A142" s="33" t="s">
        <v>455</v>
      </c>
      <c r="B142" s="33" t="s">
        <v>278</v>
      </c>
      <c r="C142" s="33" t="s">
        <v>456</v>
      </c>
      <c r="D142" s="24" t="s">
        <v>171</v>
      </c>
      <c r="E142" s="25" t="s">
        <v>172</v>
      </c>
      <c r="F142" s="26" t="s">
        <v>457</v>
      </c>
      <c r="G142" s="26" t="s">
        <v>458</v>
      </c>
    </row>
    <row r="143" customFormat="false" ht="55.5" hidden="false" customHeight="true" outlineLevel="0" collapsed="false">
      <c r="A143" s="24" t="s">
        <v>455</v>
      </c>
      <c r="B143" s="24" t="s">
        <v>278</v>
      </c>
      <c r="C143" s="24" t="s">
        <v>456</v>
      </c>
      <c r="D143" s="24" t="s">
        <v>175</v>
      </c>
      <c r="E143" s="27" t="s">
        <v>176</v>
      </c>
      <c r="F143" s="26" t="s">
        <v>459</v>
      </c>
      <c r="G143" s="26" t="s">
        <v>460</v>
      </c>
    </row>
    <row r="144" customFormat="false" ht="39.75" hidden="false" customHeight="true" outlineLevel="0" collapsed="false">
      <c r="A144" s="24" t="s">
        <v>455</v>
      </c>
      <c r="B144" s="24" t="s">
        <v>278</v>
      </c>
      <c r="C144" s="24" t="s">
        <v>456</v>
      </c>
      <c r="D144" s="24" t="s">
        <v>179</v>
      </c>
      <c r="E144" s="28" t="s">
        <v>180</v>
      </c>
      <c r="F144" s="26" t="s">
        <v>461</v>
      </c>
      <c r="G144" s="26" t="s">
        <v>462</v>
      </c>
    </row>
    <row r="145" customFormat="false" ht="39.75" hidden="false" customHeight="true" outlineLevel="0" collapsed="false">
      <c r="A145" s="24" t="s">
        <v>455</v>
      </c>
      <c r="B145" s="24" t="s">
        <v>278</v>
      </c>
      <c r="C145" s="24" t="s">
        <v>456</v>
      </c>
      <c r="D145" s="24" t="s">
        <v>183</v>
      </c>
      <c r="E145" s="29" t="s">
        <v>184</v>
      </c>
      <c r="F145" s="26" t="s">
        <v>463</v>
      </c>
      <c r="G145" s="26" t="s">
        <v>464</v>
      </c>
    </row>
    <row r="146" customFormat="false" ht="139.5" hidden="false" customHeight="true" outlineLevel="0" collapsed="false">
      <c r="A146" s="24" t="s">
        <v>455</v>
      </c>
      <c r="B146" s="24" t="s">
        <v>278</v>
      </c>
      <c r="C146" s="24" t="s">
        <v>456</v>
      </c>
      <c r="D146" s="24" t="s">
        <v>187</v>
      </c>
      <c r="E146" s="30" t="s">
        <v>188</v>
      </c>
      <c r="F146" s="26" t="s">
        <v>189</v>
      </c>
      <c r="G146" s="26" t="s">
        <v>465</v>
      </c>
    </row>
    <row r="147" customFormat="false" ht="39.75" hidden="false" customHeight="true" outlineLevel="0" collapsed="false">
      <c r="A147" s="24" t="s">
        <v>455</v>
      </c>
      <c r="B147" s="24" t="s">
        <v>278</v>
      </c>
      <c r="C147" s="24" t="s">
        <v>456</v>
      </c>
      <c r="D147" s="24" t="s">
        <v>191</v>
      </c>
      <c r="E147" s="31" t="s">
        <v>192</v>
      </c>
      <c r="F147" s="26" t="s">
        <v>466</v>
      </c>
      <c r="G147" s="26" t="s">
        <v>467</v>
      </c>
    </row>
    <row r="148" customFormat="false" ht="39.75" hidden="false" customHeight="true" outlineLevel="0" collapsed="false">
      <c r="A148" s="24" t="s">
        <v>455</v>
      </c>
      <c r="B148" s="24" t="s">
        <v>278</v>
      </c>
      <c r="C148" s="24" t="s">
        <v>456</v>
      </c>
      <c r="D148" s="24" t="s">
        <v>195</v>
      </c>
      <c r="E148" s="29" t="s">
        <v>196</v>
      </c>
      <c r="F148" s="26" t="s">
        <v>468</v>
      </c>
      <c r="G148" s="26" t="s">
        <v>469</v>
      </c>
    </row>
    <row r="149" customFormat="false" ht="39.75" hidden="false" customHeight="true" outlineLevel="0" collapsed="false">
      <c r="A149" s="24" t="s">
        <v>470</v>
      </c>
      <c r="B149" s="24" t="s">
        <v>169</v>
      </c>
      <c r="C149" s="24" t="s">
        <v>471</v>
      </c>
      <c r="D149" s="24" t="s">
        <v>171</v>
      </c>
      <c r="E149" s="25" t="s">
        <v>172</v>
      </c>
      <c r="F149" s="26" t="s">
        <v>672</v>
      </c>
      <c r="G149" s="26" t="s">
        <v>673</v>
      </c>
    </row>
    <row r="150" customFormat="false" ht="55.5" hidden="false" customHeight="true" outlineLevel="0" collapsed="false">
      <c r="A150" s="24" t="s">
        <v>470</v>
      </c>
      <c r="B150" s="24" t="s">
        <v>169</v>
      </c>
      <c r="C150" s="24" t="s">
        <v>471</v>
      </c>
      <c r="D150" s="24" t="s">
        <v>175</v>
      </c>
      <c r="E150" s="27" t="s">
        <v>176</v>
      </c>
      <c r="F150" s="26" t="s">
        <v>474</v>
      </c>
      <c r="G150" s="26" t="s">
        <v>475</v>
      </c>
    </row>
    <row r="151" customFormat="false" ht="39.75" hidden="false" customHeight="true" outlineLevel="0" collapsed="false">
      <c r="A151" s="24" t="s">
        <v>470</v>
      </c>
      <c r="B151" s="24" t="s">
        <v>169</v>
      </c>
      <c r="C151" s="24" t="s">
        <v>471</v>
      </c>
      <c r="D151" s="24" t="s">
        <v>179</v>
      </c>
      <c r="E151" s="28" t="s">
        <v>180</v>
      </c>
      <c r="F151" s="26" t="s">
        <v>476</v>
      </c>
      <c r="G151" s="26" t="s">
        <v>477</v>
      </c>
    </row>
    <row r="152" customFormat="false" ht="39.75" hidden="false" customHeight="true" outlineLevel="0" collapsed="false">
      <c r="A152" s="24" t="s">
        <v>470</v>
      </c>
      <c r="B152" s="24" t="s">
        <v>169</v>
      </c>
      <c r="C152" s="24" t="s">
        <v>471</v>
      </c>
      <c r="D152" s="24" t="s">
        <v>183</v>
      </c>
      <c r="E152" s="29" t="s">
        <v>184</v>
      </c>
      <c r="F152" s="26" t="s">
        <v>608</v>
      </c>
      <c r="G152" s="26" t="s">
        <v>609</v>
      </c>
    </row>
    <row r="153" customFormat="false" ht="111.75" hidden="false" customHeight="true" outlineLevel="0" collapsed="false">
      <c r="A153" s="24" t="s">
        <v>470</v>
      </c>
      <c r="B153" s="24" t="s">
        <v>169</v>
      </c>
      <c r="C153" s="24" t="s">
        <v>471</v>
      </c>
      <c r="D153" s="24" t="s">
        <v>187</v>
      </c>
      <c r="E153" s="30" t="s">
        <v>188</v>
      </c>
      <c r="F153" s="26" t="s">
        <v>189</v>
      </c>
      <c r="G153" s="26" t="s">
        <v>674</v>
      </c>
    </row>
    <row r="154" customFormat="false" ht="39.75" hidden="false" customHeight="true" outlineLevel="0" collapsed="false">
      <c r="A154" s="24" t="s">
        <v>470</v>
      </c>
      <c r="B154" s="24" t="s">
        <v>169</v>
      </c>
      <c r="C154" s="24" t="s">
        <v>471</v>
      </c>
      <c r="D154" s="24" t="s">
        <v>191</v>
      </c>
      <c r="E154" s="31" t="s">
        <v>192</v>
      </c>
      <c r="F154" s="26" t="s">
        <v>479</v>
      </c>
      <c r="G154" s="26" t="s">
        <v>480</v>
      </c>
    </row>
    <row r="155" customFormat="false" ht="39.75" hidden="false" customHeight="true" outlineLevel="0" collapsed="false">
      <c r="A155" s="24" t="s">
        <v>470</v>
      </c>
      <c r="B155" s="24" t="s">
        <v>169</v>
      </c>
      <c r="C155" s="24" t="s">
        <v>471</v>
      </c>
      <c r="D155" s="24" t="s">
        <v>195</v>
      </c>
      <c r="E155" s="29" t="s">
        <v>196</v>
      </c>
      <c r="F155" s="26" t="s">
        <v>625</v>
      </c>
      <c r="G155" s="26" t="s">
        <v>626</v>
      </c>
    </row>
    <row r="156" customFormat="false" ht="39.75" hidden="false" customHeight="true" outlineLevel="0" collapsed="false">
      <c r="A156" s="24" t="s">
        <v>481</v>
      </c>
      <c r="B156" s="24" t="s">
        <v>200</v>
      </c>
      <c r="C156" s="24" t="s">
        <v>482</v>
      </c>
      <c r="D156" s="24" t="s">
        <v>171</v>
      </c>
      <c r="E156" s="25" t="s">
        <v>172</v>
      </c>
      <c r="F156" s="26" t="s">
        <v>675</v>
      </c>
      <c r="G156" s="26" t="s">
        <v>676</v>
      </c>
    </row>
    <row r="157" customFormat="false" ht="42" hidden="false" customHeight="true" outlineLevel="0" collapsed="false">
      <c r="A157" s="24" t="s">
        <v>481</v>
      </c>
      <c r="B157" s="24" t="s">
        <v>200</v>
      </c>
      <c r="C157" s="24" t="s">
        <v>482</v>
      </c>
      <c r="D157" s="24" t="s">
        <v>175</v>
      </c>
      <c r="E157" s="27" t="s">
        <v>176</v>
      </c>
      <c r="F157" s="26" t="s">
        <v>485</v>
      </c>
      <c r="G157" s="26" t="s">
        <v>486</v>
      </c>
    </row>
    <row r="158" customFormat="false" ht="39.75" hidden="false" customHeight="true" outlineLevel="0" collapsed="false">
      <c r="A158" s="24" t="s">
        <v>481</v>
      </c>
      <c r="B158" s="24" t="s">
        <v>200</v>
      </c>
      <c r="C158" s="24" t="s">
        <v>482</v>
      </c>
      <c r="D158" s="24" t="s">
        <v>179</v>
      </c>
      <c r="E158" s="28" t="s">
        <v>180</v>
      </c>
      <c r="F158" s="26" t="s">
        <v>487</v>
      </c>
      <c r="G158" s="26" t="s">
        <v>488</v>
      </c>
    </row>
    <row r="159" customFormat="false" ht="39.75" hidden="false" customHeight="true" outlineLevel="0" collapsed="false">
      <c r="A159" s="24" t="s">
        <v>481</v>
      </c>
      <c r="B159" s="24" t="s">
        <v>200</v>
      </c>
      <c r="C159" s="24" t="s">
        <v>482</v>
      </c>
      <c r="D159" s="24" t="s">
        <v>183</v>
      </c>
      <c r="E159" s="29" t="s">
        <v>184</v>
      </c>
      <c r="F159" s="26" t="s">
        <v>615</v>
      </c>
      <c r="G159" s="26" t="s">
        <v>616</v>
      </c>
    </row>
    <row r="160" customFormat="false" ht="111.75" hidden="false" customHeight="true" outlineLevel="0" collapsed="false">
      <c r="A160" s="24" t="s">
        <v>481</v>
      </c>
      <c r="B160" s="24" t="s">
        <v>200</v>
      </c>
      <c r="C160" s="24" t="s">
        <v>482</v>
      </c>
      <c r="D160" s="24" t="s">
        <v>187</v>
      </c>
      <c r="E160" s="30" t="s">
        <v>188</v>
      </c>
      <c r="F160" s="26" t="s">
        <v>189</v>
      </c>
      <c r="G160" s="26" t="s">
        <v>677</v>
      </c>
    </row>
    <row r="161" customFormat="false" ht="39.75" hidden="false" customHeight="true" outlineLevel="0" collapsed="false">
      <c r="A161" s="24" t="s">
        <v>481</v>
      </c>
      <c r="B161" s="24" t="s">
        <v>200</v>
      </c>
      <c r="C161" s="24" t="s">
        <v>482</v>
      </c>
      <c r="D161" s="24" t="s">
        <v>191</v>
      </c>
      <c r="E161" s="31" t="s">
        <v>192</v>
      </c>
      <c r="F161" s="26" t="s">
        <v>490</v>
      </c>
      <c r="G161" s="26" t="s">
        <v>491</v>
      </c>
    </row>
    <row r="162" customFormat="false" ht="39.75" hidden="false" customHeight="true" outlineLevel="0" collapsed="false">
      <c r="A162" s="24" t="s">
        <v>481</v>
      </c>
      <c r="B162" s="24" t="s">
        <v>200</v>
      </c>
      <c r="C162" s="24" t="s">
        <v>482</v>
      </c>
      <c r="D162" s="24" t="s">
        <v>195</v>
      </c>
      <c r="E162" s="29" t="s">
        <v>196</v>
      </c>
      <c r="F162" s="26" t="s">
        <v>604</v>
      </c>
      <c r="G162" s="26" t="s">
        <v>605</v>
      </c>
    </row>
    <row r="163" customFormat="false" ht="39.75" hidden="false" customHeight="true" outlineLevel="0" collapsed="false">
      <c r="A163" s="24" t="s">
        <v>492</v>
      </c>
      <c r="B163" s="24" t="s">
        <v>216</v>
      </c>
      <c r="C163" s="24" t="s">
        <v>493</v>
      </c>
      <c r="D163" s="24" t="s">
        <v>171</v>
      </c>
      <c r="E163" s="25" t="s">
        <v>172</v>
      </c>
      <c r="F163" s="26" t="s">
        <v>678</v>
      </c>
      <c r="G163" s="26" t="s">
        <v>679</v>
      </c>
    </row>
    <row r="164" customFormat="false" ht="55.5" hidden="false" customHeight="true" outlineLevel="0" collapsed="false">
      <c r="A164" s="24" t="s">
        <v>492</v>
      </c>
      <c r="B164" s="24" t="s">
        <v>216</v>
      </c>
      <c r="C164" s="24" t="s">
        <v>493</v>
      </c>
      <c r="D164" s="24" t="s">
        <v>175</v>
      </c>
      <c r="E164" s="27" t="s">
        <v>176</v>
      </c>
      <c r="F164" s="26" t="s">
        <v>496</v>
      </c>
      <c r="G164" s="26" t="s">
        <v>497</v>
      </c>
    </row>
    <row r="165" customFormat="false" ht="39.75" hidden="false" customHeight="true" outlineLevel="0" collapsed="false">
      <c r="A165" s="24" t="s">
        <v>492</v>
      </c>
      <c r="B165" s="24" t="s">
        <v>216</v>
      </c>
      <c r="C165" s="24" t="s">
        <v>493</v>
      </c>
      <c r="D165" s="24" t="s">
        <v>179</v>
      </c>
      <c r="E165" s="28" t="s">
        <v>180</v>
      </c>
      <c r="F165" s="26" t="s">
        <v>498</v>
      </c>
      <c r="G165" s="26" t="s">
        <v>499</v>
      </c>
    </row>
    <row r="166" customFormat="false" ht="39.75" hidden="false" customHeight="true" outlineLevel="0" collapsed="false">
      <c r="A166" s="24" t="s">
        <v>492</v>
      </c>
      <c r="B166" s="24" t="s">
        <v>216</v>
      </c>
      <c r="C166" s="24" t="s">
        <v>493</v>
      </c>
      <c r="D166" s="24" t="s">
        <v>183</v>
      </c>
      <c r="E166" s="29" t="s">
        <v>184</v>
      </c>
      <c r="F166" s="26" t="s">
        <v>500</v>
      </c>
      <c r="G166" s="26" t="s">
        <v>501</v>
      </c>
    </row>
    <row r="167" customFormat="false" ht="111.75" hidden="false" customHeight="true" outlineLevel="0" collapsed="false">
      <c r="A167" s="24" t="s">
        <v>492</v>
      </c>
      <c r="B167" s="24" t="s">
        <v>216</v>
      </c>
      <c r="C167" s="24" t="s">
        <v>493</v>
      </c>
      <c r="D167" s="24" t="s">
        <v>187</v>
      </c>
      <c r="E167" s="30" t="s">
        <v>188</v>
      </c>
      <c r="F167" s="26" t="s">
        <v>189</v>
      </c>
      <c r="G167" s="26" t="s">
        <v>680</v>
      </c>
    </row>
    <row r="168" customFormat="false" ht="39.75" hidden="false" customHeight="true" outlineLevel="0" collapsed="false">
      <c r="A168" s="24" t="s">
        <v>492</v>
      </c>
      <c r="B168" s="24" t="s">
        <v>216</v>
      </c>
      <c r="C168" s="24" t="s">
        <v>493</v>
      </c>
      <c r="D168" s="24" t="s">
        <v>191</v>
      </c>
      <c r="E168" s="31" t="s">
        <v>192</v>
      </c>
      <c r="F168" s="26" t="s">
        <v>503</v>
      </c>
      <c r="G168" s="26" t="s">
        <v>504</v>
      </c>
    </row>
    <row r="169" customFormat="false" ht="39.75" hidden="false" customHeight="true" outlineLevel="0" collapsed="false">
      <c r="A169" s="24" t="s">
        <v>492</v>
      </c>
      <c r="B169" s="24" t="s">
        <v>216</v>
      </c>
      <c r="C169" s="24" t="s">
        <v>493</v>
      </c>
      <c r="D169" s="24" t="s">
        <v>195</v>
      </c>
      <c r="E169" s="29" t="s">
        <v>196</v>
      </c>
      <c r="F169" s="26" t="s">
        <v>611</v>
      </c>
      <c r="G169" s="26" t="s">
        <v>612</v>
      </c>
    </row>
    <row r="170" customFormat="false" ht="39.75" hidden="false" customHeight="true" outlineLevel="0" collapsed="false">
      <c r="A170" s="32" t="s">
        <v>505</v>
      </c>
      <c r="B170" s="32" t="s">
        <v>232</v>
      </c>
      <c r="C170" s="32" t="s">
        <v>506</v>
      </c>
      <c r="D170" s="24" t="s">
        <v>171</v>
      </c>
      <c r="E170" s="25" t="s">
        <v>172</v>
      </c>
      <c r="F170" s="26" t="s">
        <v>681</v>
      </c>
      <c r="G170" s="26" t="s">
        <v>682</v>
      </c>
    </row>
    <row r="171" customFormat="false" ht="42" hidden="false" customHeight="true" outlineLevel="0" collapsed="false">
      <c r="A171" s="24" t="s">
        <v>505</v>
      </c>
      <c r="B171" s="24" t="s">
        <v>232</v>
      </c>
      <c r="C171" s="24" t="s">
        <v>506</v>
      </c>
      <c r="D171" s="24" t="s">
        <v>175</v>
      </c>
      <c r="E171" s="27" t="s">
        <v>176</v>
      </c>
      <c r="F171" s="26" t="s">
        <v>509</v>
      </c>
      <c r="G171" s="26" t="s">
        <v>510</v>
      </c>
    </row>
    <row r="172" customFormat="false" ht="39.75" hidden="false" customHeight="true" outlineLevel="0" collapsed="false">
      <c r="A172" s="24" t="s">
        <v>505</v>
      </c>
      <c r="B172" s="24" t="s">
        <v>232</v>
      </c>
      <c r="C172" s="24" t="s">
        <v>506</v>
      </c>
      <c r="D172" s="24" t="s">
        <v>179</v>
      </c>
      <c r="E172" s="28" t="s">
        <v>180</v>
      </c>
      <c r="F172" s="26" t="s">
        <v>511</v>
      </c>
      <c r="G172" s="26" t="s">
        <v>512</v>
      </c>
    </row>
    <row r="173" customFormat="false" ht="39.75" hidden="false" customHeight="true" outlineLevel="0" collapsed="false">
      <c r="A173" s="24" t="s">
        <v>505</v>
      </c>
      <c r="B173" s="24" t="s">
        <v>232</v>
      </c>
      <c r="C173" s="24" t="s">
        <v>506</v>
      </c>
      <c r="D173" s="24" t="s">
        <v>183</v>
      </c>
      <c r="E173" s="29" t="s">
        <v>184</v>
      </c>
      <c r="F173" s="26" t="s">
        <v>513</v>
      </c>
      <c r="G173" s="26" t="s">
        <v>514</v>
      </c>
    </row>
    <row r="174" customFormat="false" ht="111.75" hidden="false" customHeight="true" outlineLevel="0" collapsed="false">
      <c r="A174" s="24" t="s">
        <v>505</v>
      </c>
      <c r="B174" s="24" t="s">
        <v>232</v>
      </c>
      <c r="C174" s="24" t="s">
        <v>506</v>
      </c>
      <c r="D174" s="24" t="s">
        <v>187</v>
      </c>
      <c r="E174" s="30" t="s">
        <v>188</v>
      </c>
      <c r="F174" s="26" t="s">
        <v>189</v>
      </c>
      <c r="G174" s="26" t="s">
        <v>683</v>
      </c>
    </row>
    <row r="175" customFormat="false" ht="39.75" hidden="false" customHeight="true" outlineLevel="0" collapsed="false">
      <c r="A175" s="24" t="s">
        <v>505</v>
      </c>
      <c r="B175" s="24" t="s">
        <v>232</v>
      </c>
      <c r="C175" s="24" t="s">
        <v>506</v>
      </c>
      <c r="D175" s="24" t="s">
        <v>191</v>
      </c>
      <c r="E175" s="31" t="s">
        <v>192</v>
      </c>
      <c r="F175" s="26" t="s">
        <v>516</v>
      </c>
      <c r="G175" s="26" t="s">
        <v>517</v>
      </c>
    </row>
    <row r="176" customFormat="false" ht="39.75" hidden="false" customHeight="true" outlineLevel="0" collapsed="false">
      <c r="A176" s="24" t="s">
        <v>505</v>
      </c>
      <c r="B176" s="24" t="s">
        <v>232</v>
      </c>
      <c r="C176" s="24" t="s">
        <v>506</v>
      </c>
      <c r="D176" s="24" t="s">
        <v>195</v>
      </c>
      <c r="E176" s="29" t="s">
        <v>196</v>
      </c>
      <c r="F176" s="26" t="s">
        <v>684</v>
      </c>
      <c r="G176" s="26" t="s">
        <v>596</v>
      </c>
    </row>
    <row r="177" customFormat="false" ht="39.75" hidden="false" customHeight="true" outlineLevel="0" collapsed="false">
      <c r="A177" s="24" t="s">
        <v>520</v>
      </c>
      <c r="B177" s="24" t="s">
        <v>248</v>
      </c>
      <c r="C177" s="24" t="s">
        <v>521</v>
      </c>
      <c r="D177" s="24" t="s">
        <v>171</v>
      </c>
      <c r="E177" s="25" t="s">
        <v>172</v>
      </c>
      <c r="F177" s="26" t="s">
        <v>685</v>
      </c>
      <c r="G177" s="26" t="s">
        <v>686</v>
      </c>
    </row>
    <row r="178" customFormat="false" ht="55.5" hidden="false" customHeight="true" outlineLevel="0" collapsed="false">
      <c r="A178" s="24" t="s">
        <v>520</v>
      </c>
      <c r="B178" s="24" t="s">
        <v>248</v>
      </c>
      <c r="C178" s="24" t="s">
        <v>521</v>
      </c>
      <c r="D178" s="24" t="s">
        <v>175</v>
      </c>
      <c r="E178" s="27" t="s">
        <v>176</v>
      </c>
      <c r="F178" s="26" t="s">
        <v>524</v>
      </c>
      <c r="G178" s="26" t="s">
        <v>525</v>
      </c>
    </row>
    <row r="179" customFormat="false" ht="39.75" hidden="false" customHeight="true" outlineLevel="0" collapsed="false">
      <c r="A179" s="24" t="s">
        <v>520</v>
      </c>
      <c r="B179" s="24" t="s">
        <v>248</v>
      </c>
      <c r="C179" s="24" t="s">
        <v>521</v>
      </c>
      <c r="D179" s="24" t="s">
        <v>179</v>
      </c>
      <c r="E179" s="28" t="s">
        <v>180</v>
      </c>
      <c r="F179" s="26" t="s">
        <v>526</v>
      </c>
      <c r="G179" s="26" t="s">
        <v>527</v>
      </c>
    </row>
    <row r="180" customFormat="false" ht="39.75" hidden="false" customHeight="true" outlineLevel="0" collapsed="false">
      <c r="A180" s="24" t="s">
        <v>520</v>
      </c>
      <c r="B180" s="24" t="s">
        <v>248</v>
      </c>
      <c r="C180" s="24" t="s">
        <v>521</v>
      </c>
      <c r="D180" s="24" t="s">
        <v>183</v>
      </c>
      <c r="E180" s="29" t="s">
        <v>184</v>
      </c>
      <c r="F180" s="26" t="s">
        <v>650</v>
      </c>
      <c r="G180" s="26" t="s">
        <v>651</v>
      </c>
    </row>
    <row r="181" customFormat="false" ht="126" hidden="false" customHeight="true" outlineLevel="0" collapsed="false">
      <c r="A181" s="24" t="s">
        <v>520</v>
      </c>
      <c r="B181" s="24" t="s">
        <v>248</v>
      </c>
      <c r="C181" s="24" t="s">
        <v>521</v>
      </c>
      <c r="D181" s="24" t="s">
        <v>187</v>
      </c>
      <c r="E181" s="30" t="s">
        <v>188</v>
      </c>
      <c r="F181" s="26" t="s">
        <v>189</v>
      </c>
      <c r="G181" s="26" t="s">
        <v>687</v>
      </c>
    </row>
    <row r="182" customFormat="false" ht="39.75" hidden="false" customHeight="true" outlineLevel="0" collapsed="false">
      <c r="A182" s="24" t="s">
        <v>520</v>
      </c>
      <c r="B182" s="24" t="s">
        <v>248</v>
      </c>
      <c r="C182" s="24" t="s">
        <v>521</v>
      </c>
      <c r="D182" s="24" t="s">
        <v>191</v>
      </c>
      <c r="E182" s="31" t="s">
        <v>192</v>
      </c>
      <c r="F182" s="26" t="s">
        <v>529</v>
      </c>
      <c r="G182" s="26" t="s">
        <v>530</v>
      </c>
    </row>
    <row r="183" customFormat="false" ht="39.75" hidden="false" customHeight="true" outlineLevel="0" collapsed="false">
      <c r="A183" s="24" t="s">
        <v>520</v>
      </c>
      <c r="B183" s="24" t="s">
        <v>248</v>
      </c>
      <c r="C183" s="24" t="s">
        <v>521</v>
      </c>
      <c r="D183" s="24" t="s">
        <v>195</v>
      </c>
      <c r="E183" s="29" t="s">
        <v>196</v>
      </c>
      <c r="F183" s="26" t="s">
        <v>625</v>
      </c>
      <c r="G183" s="26" t="s">
        <v>626</v>
      </c>
    </row>
    <row r="184" customFormat="false" ht="39.75" hidden="false" customHeight="true" outlineLevel="0" collapsed="false">
      <c r="A184" s="24" t="s">
        <v>531</v>
      </c>
      <c r="B184" s="24" t="s">
        <v>262</v>
      </c>
      <c r="C184" s="24" t="s">
        <v>532</v>
      </c>
      <c r="D184" s="24" t="s">
        <v>171</v>
      </c>
      <c r="E184" s="25" t="s">
        <v>172</v>
      </c>
      <c r="F184" s="26" t="s">
        <v>688</v>
      </c>
      <c r="G184" s="26" t="s">
        <v>689</v>
      </c>
    </row>
    <row r="185" customFormat="false" ht="42" hidden="false" customHeight="true" outlineLevel="0" collapsed="false">
      <c r="A185" s="24" t="s">
        <v>531</v>
      </c>
      <c r="B185" s="24" t="s">
        <v>262</v>
      </c>
      <c r="C185" s="24" t="s">
        <v>532</v>
      </c>
      <c r="D185" s="24" t="s">
        <v>175</v>
      </c>
      <c r="E185" s="27" t="s">
        <v>176</v>
      </c>
      <c r="F185" s="26" t="s">
        <v>535</v>
      </c>
      <c r="G185" s="26" t="s">
        <v>536</v>
      </c>
    </row>
    <row r="186" customFormat="false" ht="39.75" hidden="false" customHeight="true" outlineLevel="0" collapsed="false">
      <c r="A186" s="24" t="s">
        <v>531</v>
      </c>
      <c r="B186" s="24" t="s">
        <v>262</v>
      </c>
      <c r="C186" s="24" t="s">
        <v>532</v>
      </c>
      <c r="D186" s="24" t="s">
        <v>179</v>
      </c>
      <c r="E186" s="28" t="s">
        <v>180</v>
      </c>
      <c r="F186" s="26" t="s">
        <v>537</v>
      </c>
      <c r="G186" s="26" t="s">
        <v>538</v>
      </c>
    </row>
    <row r="187" customFormat="false" ht="39.75" hidden="false" customHeight="true" outlineLevel="0" collapsed="false">
      <c r="A187" s="24" t="s">
        <v>531</v>
      </c>
      <c r="B187" s="24" t="s">
        <v>262</v>
      </c>
      <c r="C187" s="24" t="s">
        <v>532</v>
      </c>
      <c r="D187" s="24" t="s">
        <v>183</v>
      </c>
      <c r="E187" s="29" t="s">
        <v>184</v>
      </c>
      <c r="F187" s="26" t="s">
        <v>637</v>
      </c>
      <c r="G187" s="26" t="s">
        <v>638</v>
      </c>
    </row>
    <row r="188" customFormat="false" ht="111.75" hidden="false" customHeight="true" outlineLevel="0" collapsed="false">
      <c r="A188" s="24" t="s">
        <v>531</v>
      </c>
      <c r="B188" s="24" t="s">
        <v>262</v>
      </c>
      <c r="C188" s="24" t="s">
        <v>532</v>
      </c>
      <c r="D188" s="24" t="s">
        <v>187</v>
      </c>
      <c r="E188" s="30" t="s">
        <v>188</v>
      </c>
      <c r="F188" s="26" t="s">
        <v>189</v>
      </c>
      <c r="G188" s="26" t="s">
        <v>690</v>
      </c>
    </row>
    <row r="189" customFormat="false" ht="39.75" hidden="false" customHeight="true" outlineLevel="0" collapsed="false">
      <c r="A189" s="24" t="s">
        <v>531</v>
      </c>
      <c r="B189" s="24" t="s">
        <v>262</v>
      </c>
      <c r="C189" s="24" t="s">
        <v>532</v>
      </c>
      <c r="D189" s="24" t="s">
        <v>191</v>
      </c>
      <c r="E189" s="31" t="s">
        <v>192</v>
      </c>
      <c r="F189" s="26" t="s">
        <v>540</v>
      </c>
      <c r="G189" s="26" t="s">
        <v>541</v>
      </c>
    </row>
    <row r="190" customFormat="false" ht="39.75" hidden="false" customHeight="true" outlineLevel="0" collapsed="false">
      <c r="A190" s="24" t="s">
        <v>531</v>
      </c>
      <c r="B190" s="24" t="s">
        <v>262</v>
      </c>
      <c r="C190" s="24" t="s">
        <v>532</v>
      </c>
      <c r="D190" s="24" t="s">
        <v>195</v>
      </c>
      <c r="E190" s="29" t="s">
        <v>196</v>
      </c>
      <c r="F190" s="26" t="s">
        <v>604</v>
      </c>
      <c r="G190" s="26" t="s">
        <v>605</v>
      </c>
    </row>
    <row r="191" customFormat="false" ht="39.75" hidden="false" customHeight="true" outlineLevel="0" collapsed="false">
      <c r="A191" s="24" t="s">
        <v>542</v>
      </c>
      <c r="B191" s="24" t="s">
        <v>278</v>
      </c>
      <c r="C191" s="24" t="s">
        <v>543</v>
      </c>
      <c r="D191" s="24" t="s">
        <v>171</v>
      </c>
      <c r="E191" s="25" t="s">
        <v>172</v>
      </c>
      <c r="F191" s="26" t="s">
        <v>691</v>
      </c>
      <c r="G191" s="26" t="s">
        <v>692</v>
      </c>
    </row>
    <row r="192" customFormat="false" ht="55.5" hidden="false" customHeight="true" outlineLevel="0" collapsed="false">
      <c r="A192" s="24" t="s">
        <v>542</v>
      </c>
      <c r="B192" s="24" t="s">
        <v>278</v>
      </c>
      <c r="C192" s="24" t="s">
        <v>543</v>
      </c>
      <c r="D192" s="24" t="s">
        <v>175</v>
      </c>
      <c r="E192" s="27" t="s">
        <v>176</v>
      </c>
      <c r="F192" s="26" t="s">
        <v>546</v>
      </c>
      <c r="G192" s="26" t="s">
        <v>547</v>
      </c>
    </row>
    <row r="193" customFormat="false" ht="39.75" hidden="false" customHeight="true" outlineLevel="0" collapsed="false">
      <c r="A193" s="24" t="s">
        <v>542</v>
      </c>
      <c r="B193" s="24" t="s">
        <v>278</v>
      </c>
      <c r="C193" s="24" t="s">
        <v>543</v>
      </c>
      <c r="D193" s="24" t="s">
        <v>179</v>
      </c>
      <c r="E193" s="28" t="s">
        <v>180</v>
      </c>
      <c r="F193" s="26" t="s">
        <v>548</v>
      </c>
      <c r="G193" s="26" t="s">
        <v>549</v>
      </c>
    </row>
    <row r="194" customFormat="false" ht="39.75" hidden="false" customHeight="true" outlineLevel="0" collapsed="false">
      <c r="A194" s="24" t="s">
        <v>542</v>
      </c>
      <c r="B194" s="24" t="s">
        <v>278</v>
      </c>
      <c r="C194" s="24" t="s">
        <v>543</v>
      </c>
      <c r="D194" s="24" t="s">
        <v>183</v>
      </c>
      <c r="E194" s="29" t="s">
        <v>184</v>
      </c>
      <c r="F194" s="26" t="s">
        <v>608</v>
      </c>
      <c r="G194" s="26" t="s">
        <v>609</v>
      </c>
    </row>
    <row r="195" customFormat="false" ht="126" hidden="false" customHeight="true" outlineLevel="0" collapsed="false">
      <c r="A195" s="24" t="s">
        <v>542</v>
      </c>
      <c r="B195" s="24" t="s">
        <v>278</v>
      </c>
      <c r="C195" s="24" t="s">
        <v>543</v>
      </c>
      <c r="D195" s="24" t="s">
        <v>187</v>
      </c>
      <c r="E195" s="30" t="s">
        <v>188</v>
      </c>
      <c r="F195" s="26" t="s">
        <v>189</v>
      </c>
      <c r="G195" s="26" t="s">
        <v>693</v>
      </c>
    </row>
    <row r="196" customFormat="false" ht="39.75" hidden="false" customHeight="true" outlineLevel="0" collapsed="false">
      <c r="A196" s="24" t="s">
        <v>542</v>
      </c>
      <c r="B196" s="24" t="s">
        <v>278</v>
      </c>
      <c r="C196" s="24" t="s">
        <v>543</v>
      </c>
      <c r="D196" s="24" t="s">
        <v>191</v>
      </c>
      <c r="E196" s="31" t="s">
        <v>192</v>
      </c>
      <c r="F196" s="26" t="s">
        <v>551</v>
      </c>
      <c r="G196" s="26" t="s">
        <v>552</v>
      </c>
    </row>
    <row r="197" customFormat="false" ht="39.75" hidden="false" customHeight="true" outlineLevel="0" collapsed="false">
      <c r="A197" s="24" t="s">
        <v>542</v>
      </c>
      <c r="B197" s="24" t="s">
        <v>278</v>
      </c>
      <c r="C197" s="24" t="s">
        <v>543</v>
      </c>
      <c r="D197" s="24" t="s">
        <v>195</v>
      </c>
      <c r="E197" s="29" t="s">
        <v>196</v>
      </c>
      <c r="F197" s="26" t="s">
        <v>611</v>
      </c>
      <c r="G197" s="26" t="s">
        <v>612</v>
      </c>
    </row>
    <row r="198" customFormat="false" ht="39.75" hidden="false" customHeight="true" outlineLevel="0" collapsed="false">
      <c r="A198" s="24" t="s">
        <v>553</v>
      </c>
      <c r="B198" s="24" t="s">
        <v>169</v>
      </c>
      <c r="C198" s="24" t="s">
        <v>554</v>
      </c>
      <c r="D198" s="24" t="s">
        <v>171</v>
      </c>
      <c r="E198" s="25" t="s">
        <v>172</v>
      </c>
      <c r="F198" s="26" t="s">
        <v>694</v>
      </c>
      <c r="G198" s="26" t="s">
        <v>695</v>
      </c>
    </row>
    <row r="199" customFormat="false" ht="42" hidden="false" customHeight="true" outlineLevel="0" collapsed="false">
      <c r="A199" s="24" t="s">
        <v>553</v>
      </c>
      <c r="B199" s="24" t="s">
        <v>169</v>
      </c>
      <c r="C199" s="24" t="s">
        <v>554</v>
      </c>
      <c r="D199" s="24" t="s">
        <v>175</v>
      </c>
      <c r="E199" s="27" t="s">
        <v>176</v>
      </c>
      <c r="F199" s="26" t="s">
        <v>557</v>
      </c>
      <c r="G199" s="26" t="s">
        <v>558</v>
      </c>
    </row>
    <row r="200" customFormat="false" ht="39.75" hidden="false" customHeight="true" outlineLevel="0" collapsed="false">
      <c r="A200" s="24" t="s">
        <v>553</v>
      </c>
      <c r="B200" s="24" t="s">
        <v>169</v>
      </c>
      <c r="C200" s="24" t="s">
        <v>554</v>
      </c>
      <c r="D200" s="24" t="s">
        <v>179</v>
      </c>
      <c r="E200" s="28" t="s">
        <v>180</v>
      </c>
      <c r="F200" s="26" t="s">
        <v>559</v>
      </c>
      <c r="G200" s="26" t="s">
        <v>560</v>
      </c>
    </row>
    <row r="201" customFormat="false" ht="39.75" hidden="false" customHeight="true" outlineLevel="0" collapsed="false">
      <c r="A201" s="24" t="s">
        <v>553</v>
      </c>
      <c r="B201" s="24" t="s">
        <v>169</v>
      </c>
      <c r="C201" s="24" t="s">
        <v>554</v>
      </c>
      <c r="D201" s="24" t="s">
        <v>183</v>
      </c>
      <c r="E201" s="29" t="s">
        <v>184</v>
      </c>
      <c r="F201" s="26" t="s">
        <v>615</v>
      </c>
      <c r="G201" s="26" t="s">
        <v>616</v>
      </c>
    </row>
    <row r="202" customFormat="false" ht="111.75" hidden="false" customHeight="true" outlineLevel="0" collapsed="false">
      <c r="A202" s="24" t="s">
        <v>553</v>
      </c>
      <c r="B202" s="24" t="s">
        <v>169</v>
      </c>
      <c r="C202" s="24" t="s">
        <v>554</v>
      </c>
      <c r="D202" s="24" t="s">
        <v>187</v>
      </c>
      <c r="E202" s="30" t="s">
        <v>188</v>
      </c>
      <c r="F202" s="26" t="s">
        <v>189</v>
      </c>
      <c r="G202" s="26" t="s">
        <v>696</v>
      </c>
    </row>
    <row r="203" customFormat="false" ht="39.75" hidden="false" customHeight="true" outlineLevel="0" collapsed="false">
      <c r="A203" s="24" t="s">
        <v>553</v>
      </c>
      <c r="B203" s="24" t="s">
        <v>169</v>
      </c>
      <c r="C203" s="24" t="s">
        <v>554</v>
      </c>
      <c r="D203" s="24" t="s">
        <v>191</v>
      </c>
      <c r="E203" s="31" t="s">
        <v>192</v>
      </c>
      <c r="F203" s="26" t="s">
        <v>562</v>
      </c>
      <c r="G203" s="26" t="s">
        <v>563</v>
      </c>
    </row>
    <row r="204" customFormat="false" ht="39.75" hidden="false" customHeight="true" outlineLevel="0" collapsed="false">
      <c r="A204" s="24" t="s">
        <v>553</v>
      </c>
      <c r="B204" s="24" t="s">
        <v>169</v>
      </c>
      <c r="C204" s="24" t="s">
        <v>554</v>
      </c>
      <c r="D204" s="24" t="s">
        <v>195</v>
      </c>
      <c r="E204" s="29" t="s">
        <v>196</v>
      </c>
      <c r="F204" s="26" t="s">
        <v>697</v>
      </c>
      <c r="G204" s="26" t="s">
        <v>596</v>
      </c>
    </row>
    <row r="205" customFormat="false" ht="39.75" hidden="false" customHeight="true" outlineLevel="0" collapsed="false">
      <c r="A205" s="24" t="s">
        <v>564</v>
      </c>
      <c r="B205" s="24" t="s">
        <v>200</v>
      </c>
      <c r="C205" s="24" t="s">
        <v>565</v>
      </c>
      <c r="D205" s="24" t="s">
        <v>171</v>
      </c>
      <c r="E205" s="25" t="s">
        <v>172</v>
      </c>
      <c r="F205" s="26" t="s">
        <v>698</v>
      </c>
      <c r="G205" s="26" t="s">
        <v>699</v>
      </c>
    </row>
    <row r="206" customFormat="false" ht="42" hidden="false" customHeight="true" outlineLevel="0" collapsed="false">
      <c r="A206" s="24" t="s">
        <v>564</v>
      </c>
      <c r="B206" s="24" t="s">
        <v>200</v>
      </c>
      <c r="C206" s="24" t="s">
        <v>565</v>
      </c>
      <c r="D206" s="24" t="s">
        <v>175</v>
      </c>
      <c r="E206" s="27" t="s">
        <v>176</v>
      </c>
      <c r="F206" s="26" t="s">
        <v>568</v>
      </c>
      <c r="G206" s="26" t="s">
        <v>569</v>
      </c>
    </row>
    <row r="207" customFormat="false" ht="39.75" hidden="false" customHeight="true" outlineLevel="0" collapsed="false">
      <c r="A207" s="24" t="s">
        <v>564</v>
      </c>
      <c r="B207" s="24" t="s">
        <v>200</v>
      </c>
      <c r="C207" s="24" t="s">
        <v>565</v>
      </c>
      <c r="D207" s="24" t="s">
        <v>179</v>
      </c>
      <c r="E207" s="28" t="s">
        <v>180</v>
      </c>
      <c r="F207" s="26" t="s">
        <v>570</v>
      </c>
      <c r="G207" s="26" t="s">
        <v>571</v>
      </c>
    </row>
    <row r="208" customFormat="false" ht="39.75" hidden="false" customHeight="true" outlineLevel="0" collapsed="false">
      <c r="A208" s="24" t="s">
        <v>564</v>
      </c>
      <c r="B208" s="24" t="s">
        <v>200</v>
      </c>
      <c r="C208" s="24" t="s">
        <v>565</v>
      </c>
      <c r="D208" s="24" t="s">
        <v>183</v>
      </c>
      <c r="E208" s="29" t="s">
        <v>184</v>
      </c>
      <c r="F208" s="26" t="s">
        <v>622</v>
      </c>
      <c r="G208" s="26" t="s">
        <v>623</v>
      </c>
    </row>
    <row r="209" customFormat="false" ht="111.75" hidden="false" customHeight="true" outlineLevel="0" collapsed="false">
      <c r="A209" s="24" t="s">
        <v>564</v>
      </c>
      <c r="B209" s="24" t="s">
        <v>200</v>
      </c>
      <c r="C209" s="24" t="s">
        <v>565</v>
      </c>
      <c r="D209" s="24" t="s">
        <v>187</v>
      </c>
      <c r="E209" s="30" t="s">
        <v>188</v>
      </c>
      <c r="F209" s="26" t="s">
        <v>189</v>
      </c>
      <c r="G209" s="26" t="s">
        <v>700</v>
      </c>
    </row>
    <row r="210" customFormat="false" ht="39.75" hidden="false" customHeight="true" outlineLevel="0" collapsed="false">
      <c r="A210" s="24" t="s">
        <v>564</v>
      </c>
      <c r="B210" s="24" t="s">
        <v>200</v>
      </c>
      <c r="C210" s="24" t="s">
        <v>565</v>
      </c>
      <c r="D210" s="24" t="s">
        <v>191</v>
      </c>
      <c r="E210" s="31" t="s">
        <v>192</v>
      </c>
      <c r="F210" s="26" t="s">
        <v>573</v>
      </c>
      <c r="G210" s="26" t="s">
        <v>574</v>
      </c>
    </row>
    <row r="211" customFormat="false" ht="39.75" hidden="false" customHeight="true" outlineLevel="0" collapsed="false">
      <c r="A211" s="24" t="s">
        <v>564</v>
      </c>
      <c r="B211" s="24" t="s">
        <v>200</v>
      </c>
      <c r="C211" s="24" t="s">
        <v>565</v>
      </c>
      <c r="D211" s="24" t="s">
        <v>195</v>
      </c>
      <c r="E211" s="29" t="s">
        <v>196</v>
      </c>
      <c r="F211" s="26" t="s">
        <v>625</v>
      </c>
      <c r="G211" s="26" t="s">
        <v>626</v>
      </c>
    </row>
    <row r="212" customFormat="false" ht="39.75" hidden="false" customHeight="true" outlineLevel="0" collapsed="false">
      <c r="A212" s="24" t="s">
        <v>575</v>
      </c>
      <c r="B212" s="24" t="s">
        <v>216</v>
      </c>
      <c r="C212" s="24" t="s">
        <v>576</v>
      </c>
      <c r="D212" s="24" t="s">
        <v>171</v>
      </c>
      <c r="E212" s="25" t="s">
        <v>172</v>
      </c>
      <c r="F212" s="26" t="s">
        <v>701</v>
      </c>
      <c r="G212" s="26" t="s">
        <v>702</v>
      </c>
    </row>
    <row r="213" customFormat="false" ht="42" hidden="false" customHeight="true" outlineLevel="0" collapsed="false">
      <c r="A213" s="24" t="s">
        <v>575</v>
      </c>
      <c r="B213" s="24" t="s">
        <v>216</v>
      </c>
      <c r="C213" s="24" t="s">
        <v>576</v>
      </c>
      <c r="D213" s="24" t="s">
        <v>175</v>
      </c>
      <c r="E213" s="27" t="s">
        <v>176</v>
      </c>
      <c r="F213" s="26" t="s">
        <v>579</v>
      </c>
      <c r="G213" s="26" t="s">
        <v>580</v>
      </c>
    </row>
    <row r="214" customFormat="false" ht="39.75" hidden="false" customHeight="true" outlineLevel="0" collapsed="false">
      <c r="A214" s="24" t="s">
        <v>575</v>
      </c>
      <c r="B214" s="24" t="s">
        <v>216</v>
      </c>
      <c r="C214" s="24" t="s">
        <v>576</v>
      </c>
      <c r="D214" s="24" t="s">
        <v>179</v>
      </c>
      <c r="E214" s="28" t="s">
        <v>180</v>
      </c>
      <c r="F214" s="26" t="s">
        <v>581</v>
      </c>
      <c r="G214" s="26" t="s">
        <v>582</v>
      </c>
    </row>
    <row r="215" customFormat="false" ht="39.75" hidden="false" customHeight="true" outlineLevel="0" collapsed="false">
      <c r="A215" s="24" t="s">
        <v>575</v>
      </c>
      <c r="B215" s="24" t="s">
        <v>216</v>
      </c>
      <c r="C215" s="24" t="s">
        <v>576</v>
      </c>
      <c r="D215" s="24" t="s">
        <v>183</v>
      </c>
      <c r="E215" s="29" t="s">
        <v>184</v>
      </c>
      <c r="F215" s="26" t="s">
        <v>583</v>
      </c>
      <c r="G215" s="26" t="s">
        <v>584</v>
      </c>
    </row>
    <row r="216" customFormat="false" ht="111.75" hidden="false" customHeight="true" outlineLevel="0" collapsed="false">
      <c r="A216" s="24" t="s">
        <v>575</v>
      </c>
      <c r="B216" s="24" t="s">
        <v>216</v>
      </c>
      <c r="C216" s="24" t="s">
        <v>576</v>
      </c>
      <c r="D216" s="24" t="s">
        <v>187</v>
      </c>
      <c r="E216" s="30" t="s">
        <v>188</v>
      </c>
      <c r="F216" s="26" t="s">
        <v>189</v>
      </c>
      <c r="G216" s="26" t="s">
        <v>703</v>
      </c>
    </row>
    <row r="217" customFormat="false" ht="42" hidden="false" customHeight="true" outlineLevel="0" collapsed="false">
      <c r="A217" s="24" t="s">
        <v>575</v>
      </c>
      <c r="B217" s="24" t="s">
        <v>216</v>
      </c>
      <c r="C217" s="24" t="s">
        <v>576</v>
      </c>
      <c r="D217" s="24" t="s">
        <v>191</v>
      </c>
      <c r="E217" s="31" t="s">
        <v>192</v>
      </c>
      <c r="F217" s="26" t="s">
        <v>586</v>
      </c>
      <c r="G217" s="26" t="s">
        <v>587</v>
      </c>
    </row>
    <row r="218" customFormat="false" ht="39.75" hidden="false" customHeight="true" outlineLevel="0" collapsed="false">
      <c r="A218" s="24" t="s">
        <v>575</v>
      </c>
      <c r="B218" s="24" t="s">
        <v>216</v>
      </c>
      <c r="C218" s="24" t="s">
        <v>576</v>
      </c>
      <c r="D218" s="24" t="s">
        <v>195</v>
      </c>
      <c r="E218" s="29" t="s">
        <v>196</v>
      </c>
      <c r="F218" s="26" t="s">
        <v>604</v>
      </c>
      <c r="G218" s="26" t="s">
        <v>605</v>
      </c>
    </row>
  </sheetData>
  <printOptions headings="false" gridLines="false" gridLinesSet="true" horizontalCentered="false" verticalCentered="false"/>
  <pageMargins left="0.4" right="0.4" top="0.5" bottom="0.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2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8"/>
    <col collapsed="false" customWidth="true" hidden="false" outlineLevel="0" max="2" min="2" style="0" width="12"/>
    <col collapsed="false" customWidth="true" hidden="false" outlineLevel="0" max="3" min="3" style="0" width="26"/>
    <col collapsed="false" customWidth="true" hidden="false" outlineLevel="0" max="4" min="4" style="0" width="12"/>
    <col collapsed="false" customWidth="true" hidden="false" outlineLevel="0" max="5" min="5" style="0" width="22"/>
    <col collapsed="false" customWidth="true" hidden="false" outlineLevel="0" max="6" min="6" style="0" width="32"/>
    <col collapsed="false" customWidth="true" hidden="false" outlineLevel="0" max="7" min="7" style="0" width="80"/>
  </cols>
  <sheetData>
    <row r="1" customFormat="false" ht="25.5" hidden="false" customHeight="true" outlineLevel="0" collapsed="false">
      <c r="A1" s="23" t="s">
        <v>161</v>
      </c>
      <c r="B1" s="23" t="s">
        <v>162</v>
      </c>
      <c r="C1" s="23" t="s">
        <v>163</v>
      </c>
      <c r="D1" s="23" t="s">
        <v>164</v>
      </c>
      <c r="E1" s="23" t="s">
        <v>165</v>
      </c>
      <c r="F1" s="23" t="s">
        <v>166</v>
      </c>
      <c r="G1" s="23" t="s">
        <v>167</v>
      </c>
    </row>
    <row r="2" customFormat="false" ht="39.75" hidden="false" customHeight="true" outlineLevel="0" collapsed="false">
      <c r="A2" s="24" t="s">
        <v>168</v>
      </c>
      <c r="B2" s="24" t="s">
        <v>169</v>
      </c>
      <c r="C2" s="24" t="s">
        <v>170</v>
      </c>
      <c r="D2" s="24" t="s">
        <v>171</v>
      </c>
      <c r="E2" s="25" t="s">
        <v>172</v>
      </c>
      <c r="F2" s="26" t="s">
        <v>704</v>
      </c>
      <c r="G2" s="26" t="s">
        <v>705</v>
      </c>
    </row>
    <row r="3" customFormat="false" ht="69.75" hidden="false" customHeight="true" outlineLevel="0" collapsed="false">
      <c r="A3" s="24" t="s">
        <v>168</v>
      </c>
      <c r="B3" s="24" t="s">
        <v>169</v>
      </c>
      <c r="C3" s="24" t="s">
        <v>170</v>
      </c>
      <c r="D3" s="24" t="s">
        <v>175</v>
      </c>
      <c r="E3" s="27" t="s">
        <v>176</v>
      </c>
      <c r="F3" s="26" t="s">
        <v>177</v>
      </c>
      <c r="G3" s="26" t="s">
        <v>178</v>
      </c>
    </row>
    <row r="4" customFormat="false" ht="42" hidden="false" customHeight="true" outlineLevel="0" collapsed="false">
      <c r="A4" s="24" t="s">
        <v>168</v>
      </c>
      <c r="B4" s="24" t="s">
        <v>169</v>
      </c>
      <c r="C4" s="24" t="s">
        <v>170</v>
      </c>
      <c r="D4" s="24" t="s">
        <v>179</v>
      </c>
      <c r="E4" s="28" t="s">
        <v>180</v>
      </c>
      <c r="F4" s="26" t="s">
        <v>181</v>
      </c>
      <c r="G4" s="26" t="s">
        <v>182</v>
      </c>
    </row>
    <row r="5" customFormat="false" ht="39.75" hidden="false" customHeight="true" outlineLevel="0" collapsed="false">
      <c r="A5" s="24" t="s">
        <v>168</v>
      </c>
      <c r="B5" s="24" t="s">
        <v>169</v>
      </c>
      <c r="C5" s="24" t="s">
        <v>170</v>
      </c>
      <c r="D5" s="24" t="s">
        <v>183</v>
      </c>
      <c r="E5" s="29" t="s">
        <v>184</v>
      </c>
      <c r="F5" s="26" t="s">
        <v>706</v>
      </c>
      <c r="G5" s="26" t="s">
        <v>707</v>
      </c>
    </row>
    <row r="6" customFormat="false" ht="126" hidden="false" customHeight="true" outlineLevel="0" collapsed="false">
      <c r="A6" s="24" t="s">
        <v>168</v>
      </c>
      <c r="B6" s="24" t="s">
        <v>169</v>
      </c>
      <c r="C6" s="24" t="s">
        <v>170</v>
      </c>
      <c r="D6" s="24" t="s">
        <v>187</v>
      </c>
      <c r="E6" s="30" t="s">
        <v>188</v>
      </c>
      <c r="F6" s="26" t="s">
        <v>189</v>
      </c>
      <c r="G6" s="26" t="s">
        <v>708</v>
      </c>
    </row>
    <row r="7" customFormat="false" ht="39.75" hidden="false" customHeight="true" outlineLevel="0" collapsed="false">
      <c r="A7" s="24" t="s">
        <v>168</v>
      </c>
      <c r="B7" s="24" t="s">
        <v>169</v>
      </c>
      <c r="C7" s="24" t="s">
        <v>170</v>
      </c>
      <c r="D7" s="24" t="s">
        <v>191</v>
      </c>
      <c r="E7" s="31" t="s">
        <v>192</v>
      </c>
      <c r="F7" s="26" t="s">
        <v>193</v>
      </c>
      <c r="G7" s="26" t="s">
        <v>194</v>
      </c>
    </row>
    <row r="8" customFormat="false" ht="39.75" hidden="false" customHeight="true" outlineLevel="0" collapsed="false">
      <c r="A8" s="24" t="s">
        <v>168</v>
      </c>
      <c r="B8" s="24" t="s">
        <v>169</v>
      </c>
      <c r="C8" s="24" t="s">
        <v>170</v>
      </c>
      <c r="D8" s="24" t="s">
        <v>195</v>
      </c>
      <c r="E8" s="29" t="s">
        <v>196</v>
      </c>
      <c r="F8" s="26" t="s">
        <v>709</v>
      </c>
      <c r="G8" s="26" t="s">
        <v>710</v>
      </c>
    </row>
    <row r="9" customFormat="false" ht="39.75" hidden="false" customHeight="true" outlineLevel="0" collapsed="false">
      <c r="A9" s="24" t="s">
        <v>199</v>
      </c>
      <c r="B9" s="24" t="s">
        <v>200</v>
      </c>
      <c r="C9" s="24" t="s">
        <v>201</v>
      </c>
      <c r="D9" s="24" t="s">
        <v>171</v>
      </c>
      <c r="E9" s="25" t="s">
        <v>172</v>
      </c>
      <c r="F9" s="26" t="s">
        <v>711</v>
      </c>
      <c r="G9" s="26" t="s">
        <v>712</v>
      </c>
    </row>
    <row r="10" customFormat="false" ht="42" hidden="false" customHeight="true" outlineLevel="0" collapsed="false">
      <c r="A10" s="24" t="s">
        <v>199</v>
      </c>
      <c r="B10" s="24" t="s">
        <v>200</v>
      </c>
      <c r="C10" s="24" t="s">
        <v>201</v>
      </c>
      <c r="D10" s="24" t="s">
        <v>175</v>
      </c>
      <c r="E10" s="27" t="s">
        <v>176</v>
      </c>
      <c r="F10" s="26" t="s">
        <v>204</v>
      </c>
      <c r="G10" s="26" t="s">
        <v>205</v>
      </c>
    </row>
    <row r="11" customFormat="false" ht="39.75" hidden="false" customHeight="true" outlineLevel="0" collapsed="false">
      <c r="A11" s="24" t="s">
        <v>199</v>
      </c>
      <c r="B11" s="24" t="s">
        <v>200</v>
      </c>
      <c r="C11" s="24" t="s">
        <v>201</v>
      </c>
      <c r="D11" s="24" t="s">
        <v>179</v>
      </c>
      <c r="E11" s="28" t="s">
        <v>180</v>
      </c>
      <c r="F11" s="26" t="s">
        <v>206</v>
      </c>
      <c r="G11" s="26" t="s">
        <v>207</v>
      </c>
    </row>
    <row r="12" customFormat="false" ht="39.75" hidden="false" customHeight="true" outlineLevel="0" collapsed="false">
      <c r="A12" s="24" t="s">
        <v>199</v>
      </c>
      <c r="B12" s="24" t="s">
        <v>200</v>
      </c>
      <c r="C12" s="24" t="s">
        <v>201</v>
      </c>
      <c r="D12" s="24" t="s">
        <v>183</v>
      </c>
      <c r="E12" s="29" t="s">
        <v>184</v>
      </c>
      <c r="F12" s="26" t="s">
        <v>208</v>
      </c>
      <c r="G12" s="26" t="s">
        <v>209</v>
      </c>
    </row>
    <row r="13" customFormat="false" ht="111.75" hidden="false" customHeight="true" outlineLevel="0" collapsed="false">
      <c r="A13" s="24" t="s">
        <v>199</v>
      </c>
      <c r="B13" s="24" t="s">
        <v>200</v>
      </c>
      <c r="C13" s="24" t="s">
        <v>201</v>
      </c>
      <c r="D13" s="24" t="s">
        <v>187</v>
      </c>
      <c r="E13" s="30" t="s">
        <v>188</v>
      </c>
      <c r="F13" s="26" t="s">
        <v>189</v>
      </c>
      <c r="G13" s="26" t="s">
        <v>713</v>
      </c>
    </row>
    <row r="14" customFormat="false" ht="39.75" hidden="false" customHeight="true" outlineLevel="0" collapsed="false">
      <c r="A14" s="24" t="s">
        <v>199</v>
      </c>
      <c r="B14" s="24" t="s">
        <v>200</v>
      </c>
      <c r="C14" s="24" t="s">
        <v>201</v>
      </c>
      <c r="D14" s="24" t="s">
        <v>191</v>
      </c>
      <c r="E14" s="31" t="s">
        <v>192</v>
      </c>
      <c r="F14" s="26" t="s">
        <v>211</v>
      </c>
      <c r="G14" s="26" t="s">
        <v>212</v>
      </c>
    </row>
    <row r="15" customFormat="false" ht="39.75" hidden="false" customHeight="true" outlineLevel="0" collapsed="false">
      <c r="A15" s="24" t="s">
        <v>199</v>
      </c>
      <c r="B15" s="24" t="s">
        <v>200</v>
      </c>
      <c r="C15" s="24" t="s">
        <v>201</v>
      </c>
      <c r="D15" s="24" t="s">
        <v>195</v>
      </c>
      <c r="E15" s="29" t="s">
        <v>196</v>
      </c>
      <c r="F15" s="26" t="s">
        <v>714</v>
      </c>
      <c r="G15" s="26" t="s">
        <v>710</v>
      </c>
    </row>
    <row r="16" customFormat="false" ht="39.75" hidden="false" customHeight="true" outlineLevel="0" collapsed="false">
      <c r="A16" s="24" t="s">
        <v>215</v>
      </c>
      <c r="B16" s="24" t="s">
        <v>216</v>
      </c>
      <c r="C16" s="24" t="s">
        <v>217</v>
      </c>
      <c r="D16" s="24" t="s">
        <v>171</v>
      </c>
      <c r="E16" s="25" t="s">
        <v>172</v>
      </c>
      <c r="F16" s="26" t="s">
        <v>715</v>
      </c>
      <c r="G16" s="26" t="s">
        <v>716</v>
      </c>
    </row>
    <row r="17" customFormat="false" ht="42" hidden="false" customHeight="true" outlineLevel="0" collapsed="false">
      <c r="A17" s="24" t="s">
        <v>215</v>
      </c>
      <c r="B17" s="24" t="s">
        <v>216</v>
      </c>
      <c r="C17" s="24" t="s">
        <v>217</v>
      </c>
      <c r="D17" s="24" t="s">
        <v>175</v>
      </c>
      <c r="E17" s="27" t="s">
        <v>176</v>
      </c>
      <c r="F17" s="26" t="s">
        <v>220</v>
      </c>
      <c r="G17" s="26" t="s">
        <v>221</v>
      </c>
    </row>
    <row r="18" customFormat="false" ht="39.75" hidden="false" customHeight="true" outlineLevel="0" collapsed="false">
      <c r="A18" s="24" t="s">
        <v>215</v>
      </c>
      <c r="B18" s="24" t="s">
        <v>216</v>
      </c>
      <c r="C18" s="24" t="s">
        <v>217</v>
      </c>
      <c r="D18" s="24" t="s">
        <v>179</v>
      </c>
      <c r="E18" s="28" t="s">
        <v>180</v>
      </c>
      <c r="F18" s="26" t="s">
        <v>222</v>
      </c>
      <c r="G18" s="26" t="s">
        <v>223</v>
      </c>
    </row>
    <row r="19" customFormat="false" ht="39.75" hidden="false" customHeight="true" outlineLevel="0" collapsed="false">
      <c r="A19" s="24" t="s">
        <v>215</v>
      </c>
      <c r="B19" s="24" t="s">
        <v>216</v>
      </c>
      <c r="C19" s="24" t="s">
        <v>217</v>
      </c>
      <c r="D19" s="24" t="s">
        <v>183</v>
      </c>
      <c r="E19" s="29" t="s">
        <v>184</v>
      </c>
      <c r="F19" s="26" t="s">
        <v>224</v>
      </c>
      <c r="G19" s="26" t="s">
        <v>225</v>
      </c>
    </row>
    <row r="20" customFormat="false" ht="126" hidden="false" customHeight="true" outlineLevel="0" collapsed="false">
      <c r="A20" s="24" t="s">
        <v>215</v>
      </c>
      <c r="B20" s="24" t="s">
        <v>216</v>
      </c>
      <c r="C20" s="24" t="s">
        <v>217</v>
      </c>
      <c r="D20" s="24" t="s">
        <v>187</v>
      </c>
      <c r="E20" s="30" t="s">
        <v>188</v>
      </c>
      <c r="F20" s="26" t="s">
        <v>189</v>
      </c>
      <c r="G20" s="26" t="s">
        <v>717</v>
      </c>
    </row>
    <row r="21" customFormat="false" ht="39.75" hidden="false" customHeight="true" outlineLevel="0" collapsed="false">
      <c r="A21" s="24" t="s">
        <v>215</v>
      </c>
      <c r="B21" s="24" t="s">
        <v>216</v>
      </c>
      <c r="C21" s="24" t="s">
        <v>217</v>
      </c>
      <c r="D21" s="24" t="s">
        <v>191</v>
      </c>
      <c r="E21" s="31" t="s">
        <v>192</v>
      </c>
      <c r="F21" s="26" t="s">
        <v>227</v>
      </c>
      <c r="G21" s="26" t="s">
        <v>228</v>
      </c>
    </row>
    <row r="22" customFormat="false" ht="39.75" hidden="false" customHeight="true" outlineLevel="0" collapsed="false">
      <c r="A22" s="24" t="s">
        <v>215</v>
      </c>
      <c r="B22" s="24" t="s">
        <v>216</v>
      </c>
      <c r="C22" s="24" t="s">
        <v>217</v>
      </c>
      <c r="D22" s="24" t="s">
        <v>195</v>
      </c>
      <c r="E22" s="29" t="s">
        <v>196</v>
      </c>
      <c r="F22" s="26" t="s">
        <v>718</v>
      </c>
      <c r="G22" s="26" t="s">
        <v>719</v>
      </c>
    </row>
    <row r="23" customFormat="false" ht="39.75" hidden="false" customHeight="true" outlineLevel="0" collapsed="false">
      <c r="A23" s="24" t="s">
        <v>231</v>
      </c>
      <c r="B23" s="24" t="s">
        <v>232</v>
      </c>
      <c r="C23" s="24" t="s">
        <v>233</v>
      </c>
      <c r="D23" s="24" t="s">
        <v>171</v>
      </c>
      <c r="E23" s="25" t="s">
        <v>172</v>
      </c>
      <c r="F23" s="26" t="s">
        <v>720</v>
      </c>
      <c r="G23" s="26" t="s">
        <v>721</v>
      </c>
    </row>
    <row r="24" customFormat="false" ht="42" hidden="false" customHeight="true" outlineLevel="0" collapsed="false">
      <c r="A24" s="24" t="s">
        <v>231</v>
      </c>
      <c r="B24" s="24" t="s">
        <v>232</v>
      </c>
      <c r="C24" s="24" t="s">
        <v>233</v>
      </c>
      <c r="D24" s="24" t="s">
        <v>175</v>
      </c>
      <c r="E24" s="27" t="s">
        <v>176</v>
      </c>
      <c r="F24" s="26" t="s">
        <v>236</v>
      </c>
      <c r="G24" s="26" t="s">
        <v>237</v>
      </c>
    </row>
    <row r="25" customFormat="false" ht="39.75" hidden="false" customHeight="true" outlineLevel="0" collapsed="false">
      <c r="A25" s="24" t="s">
        <v>231</v>
      </c>
      <c r="B25" s="24" t="s">
        <v>232</v>
      </c>
      <c r="C25" s="24" t="s">
        <v>233</v>
      </c>
      <c r="D25" s="24" t="s">
        <v>179</v>
      </c>
      <c r="E25" s="28" t="s">
        <v>180</v>
      </c>
      <c r="F25" s="26" t="s">
        <v>238</v>
      </c>
      <c r="G25" s="26" t="s">
        <v>239</v>
      </c>
    </row>
    <row r="26" customFormat="false" ht="39.75" hidden="false" customHeight="true" outlineLevel="0" collapsed="false">
      <c r="A26" s="24" t="s">
        <v>231</v>
      </c>
      <c r="B26" s="24" t="s">
        <v>232</v>
      </c>
      <c r="C26" s="24" t="s">
        <v>233</v>
      </c>
      <c r="D26" s="24" t="s">
        <v>183</v>
      </c>
      <c r="E26" s="29" t="s">
        <v>184</v>
      </c>
      <c r="F26" s="26" t="s">
        <v>722</v>
      </c>
      <c r="G26" s="26" t="s">
        <v>723</v>
      </c>
    </row>
    <row r="27" customFormat="false" ht="111.75" hidden="false" customHeight="true" outlineLevel="0" collapsed="false">
      <c r="A27" s="24" t="s">
        <v>231</v>
      </c>
      <c r="B27" s="24" t="s">
        <v>232</v>
      </c>
      <c r="C27" s="24" t="s">
        <v>233</v>
      </c>
      <c r="D27" s="24" t="s">
        <v>187</v>
      </c>
      <c r="E27" s="30" t="s">
        <v>188</v>
      </c>
      <c r="F27" s="26" t="s">
        <v>189</v>
      </c>
      <c r="G27" s="26" t="s">
        <v>724</v>
      </c>
    </row>
    <row r="28" customFormat="false" ht="39.75" hidden="false" customHeight="true" outlineLevel="0" collapsed="false">
      <c r="A28" s="24" t="s">
        <v>231</v>
      </c>
      <c r="B28" s="24" t="s">
        <v>232</v>
      </c>
      <c r="C28" s="24" t="s">
        <v>233</v>
      </c>
      <c r="D28" s="24" t="s">
        <v>191</v>
      </c>
      <c r="E28" s="31" t="s">
        <v>192</v>
      </c>
      <c r="F28" s="26" t="s">
        <v>243</v>
      </c>
      <c r="G28" s="26" t="s">
        <v>244</v>
      </c>
    </row>
    <row r="29" customFormat="false" ht="39.75" hidden="false" customHeight="true" outlineLevel="0" collapsed="false">
      <c r="A29" s="24" t="s">
        <v>231</v>
      </c>
      <c r="B29" s="24" t="s">
        <v>232</v>
      </c>
      <c r="C29" s="24" t="s">
        <v>233</v>
      </c>
      <c r="D29" s="24" t="s">
        <v>195</v>
      </c>
      <c r="E29" s="29" t="s">
        <v>196</v>
      </c>
      <c r="F29" s="26" t="s">
        <v>725</v>
      </c>
      <c r="G29" s="26" t="s">
        <v>726</v>
      </c>
    </row>
    <row r="30" customFormat="false" ht="39.75" hidden="false" customHeight="true" outlineLevel="0" collapsed="false">
      <c r="A30" s="24" t="s">
        <v>247</v>
      </c>
      <c r="B30" s="24" t="s">
        <v>248</v>
      </c>
      <c r="C30" s="24" t="s">
        <v>249</v>
      </c>
      <c r="D30" s="24" t="s">
        <v>171</v>
      </c>
      <c r="E30" s="25" t="s">
        <v>172</v>
      </c>
      <c r="F30" s="26" t="s">
        <v>727</v>
      </c>
      <c r="G30" s="26" t="s">
        <v>728</v>
      </c>
    </row>
    <row r="31" customFormat="false" ht="42" hidden="false" customHeight="true" outlineLevel="0" collapsed="false">
      <c r="A31" s="24" t="s">
        <v>247</v>
      </c>
      <c r="B31" s="24" t="s">
        <v>248</v>
      </c>
      <c r="C31" s="24" t="s">
        <v>249</v>
      </c>
      <c r="D31" s="24" t="s">
        <v>175</v>
      </c>
      <c r="E31" s="27" t="s">
        <v>176</v>
      </c>
      <c r="F31" s="26" t="s">
        <v>252</v>
      </c>
      <c r="G31" s="26" t="s">
        <v>253</v>
      </c>
    </row>
    <row r="32" customFormat="false" ht="39.75" hidden="false" customHeight="true" outlineLevel="0" collapsed="false">
      <c r="A32" s="24" t="s">
        <v>247</v>
      </c>
      <c r="B32" s="24" t="s">
        <v>248</v>
      </c>
      <c r="C32" s="24" t="s">
        <v>249</v>
      </c>
      <c r="D32" s="24" t="s">
        <v>179</v>
      </c>
      <c r="E32" s="28" t="s">
        <v>180</v>
      </c>
      <c r="F32" s="26" t="s">
        <v>254</v>
      </c>
      <c r="G32" s="26" t="s">
        <v>255</v>
      </c>
    </row>
    <row r="33" customFormat="false" ht="39.75" hidden="false" customHeight="true" outlineLevel="0" collapsed="false">
      <c r="A33" s="24" t="s">
        <v>247</v>
      </c>
      <c r="B33" s="24" t="s">
        <v>248</v>
      </c>
      <c r="C33" s="24" t="s">
        <v>249</v>
      </c>
      <c r="D33" s="24" t="s">
        <v>183</v>
      </c>
      <c r="E33" s="29" t="s">
        <v>184</v>
      </c>
      <c r="F33" s="26" t="s">
        <v>729</v>
      </c>
      <c r="G33" s="26" t="s">
        <v>730</v>
      </c>
    </row>
    <row r="34" customFormat="false" ht="97.5" hidden="false" customHeight="true" outlineLevel="0" collapsed="false">
      <c r="A34" s="24" t="s">
        <v>247</v>
      </c>
      <c r="B34" s="24" t="s">
        <v>248</v>
      </c>
      <c r="C34" s="24" t="s">
        <v>249</v>
      </c>
      <c r="D34" s="24" t="s">
        <v>187</v>
      </c>
      <c r="E34" s="30" t="s">
        <v>188</v>
      </c>
      <c r="F34" s="26" t="s">
        <v>189</v>
      </c>
      <c r="G34" s="26" t="s">
        <v>731</v>
      </c>
    </row>
    <row r="35" customFormat="false" ht="39.75" hidden="false" customHeight="true" outlineLevel="0" collapsed="false">
      <c r="A35" s="24" t="s">
        <v>247</v>
      </c>
      <c r="B35" s="24" t="s">
        <v>248</v>
      </c>
      <c r="C35" s="24" t="s">
        <v>249</v>
      </c>
      <c r="D35" s="24" t="s">
        <v>191</v>
      </c>
      <c r="E35" s="31" t="s">
        <v>192</v>
      </c>
      <c r="F35" s="26" t="s">
        <v>259</v>
      </c>
      <c r="G35" s="26" t="s">
        <v>260</v>
      </c>
    </row>
    <row r="36" customFormat="false" ht="39.75" hidden="false" customHeight="true" outlineLevel="0" collapsed="false">
      <c r="A36" s="24" t="s">
        <v>247</v>
      </c>
      <c r="B36" s="24" t="s">
        <v>248</v>
      </c>
      <c r="C36" s="24" t="s">
        <v>249</v>
      </c>
      <c r="D36" s="24" t="s">
        <v>195</v>
      </c>
      <c r="E36" s="29" t="s">
        <v>196</v>
      </c>
      <c r="F36" s="26" t="s">
        <v>732</v>
      </c>
      <c r="G36" s="26" t="s">
        <v>733</v>
      </c>
    </row>
    <row r="37" customFormat="false" ht="39.75" hidden="false" customHeight="true" outlineLevel="0" collapsed="false">
      <c r="A37" s="24" t="s">
        <v>261</v>
      </c>
      <c r="B37" s="24" t="s">
        <v>262</v>
      </c>
      <c r="C37" s="24" t="s">
        <v>263</v>
      </c>
      <c r="D37" s="24" t="s">
        <v>171</v>
      </c>
      <c r="E37" s="25" t="s">
        <v>172</v>
      </c>
      <c r="F37" s="26" t="s">
        <v>734</v>
      </c>
      <c r="G37" s="26" t="s">
        <v>735</v>
      </c>
    </row>
    <row r="38" customFormat="false" ht="42" hidden="false" customHeight="true" outlineLevel="0" collapsed="false">
      <c r="A38" s="24" t="s">
        <v>261</v>
      </c>
      <c r="B38" s="24" t="s">
        <v>262</v>
      </c>
      <c r="C38" s="24" t="s">
        <v>263</v>
      </c>
      <c r="D38" s="24" t="s">
        <v>175</v>
      </c>
      <c r="E38" s="27" t="s">
        <v>176</v>
      </c>
      <c r="F38" s="26" t="s">
        <v>266</v>
      </c>
      <c r="G38" s="26" t="s">
        <v>267</v>
      </c>
    </row>
    <row r="39" customFormat="false" ht="39.75" hidden="false" customHeight="true" outlineLevel="0" collapsed="false">
      <c r="A39" s="24" t="s">
        <v>261</v>
      </c>
      <c r="B39" s="24" t="s">
        <v>262</v>
      </c>
      <c r="C39" s="24" t="s">
        <v>263</v>
      </c>
      <c r="D39" s="24" t="s">
        <v>179</v>
      </c>
      <c r="E39" s="28" t="s">
        <v>180</v>
      </c>
      <c r="F39" s="26" t="s">
        <v>268</v>
      </c>
      <c r="G39" s="26" t="s">
        <v>269</v>
      </c>
    </row>
    <row r="40" customFormat="false" ht="39.75" hidden="false" customHeight="true" outlineLevel="0" collapsed="false">
      <c r="A40" s="24" t="s">
        <v>261</v>
      </c>
      <c r="B40" s="24" t="s">
        <v>262</v>
      </c>
      <c r="C40" s="24" t="s">
        <v>263</v>
      </c>
      <c r="D40" s="24" t="s">
        <v>183</v>
      </c>
      <c r="E40" s="29" t="s">
        <v>184</v>
      </c>
      <c r="F40" s="26" t="s">
        <v>736</v>
      </c>
      <c r="G40" s="26" t="s">
        <v>737</v>
      </c>
    </row>
    <row r="41" customFormat="false" ht="111.75" hidden="false" customHeight="true" outlineLevel="0" collapsed="false">
      <c r="A41" s="24" t="s">
        <v>261</v>
      </c>
      <c r="B41" s="24" t="s">
        <v>262</v>
      </c>
      <c r="C41" s="24" t="s">
        <v>263</v>
      </c>
      <c r="D41" s="24" t="s">
        <v>187</v>
      </c>
      <c r="E41" s="30" t="s">
        <v>188</v>
      </c>
      <c r="F41" s="26" t="s">
        <v>189</v>
      </c>
      <c r="G41" s="26" t="s">
        <v>738</v>
      </c>
    </row>
    <row r="42" customFormat="false" ht="39.75" hidden="false" customHeight="true" outlineLevel="0" collapsed="false">
      <c r="A42" s="24" t="s">
        <v>261</v>
      </c>
      <c r="B42" s="24" t="s">
        <v>262</v>
      </c>
      <c r="C42" s="24" t="s">
        <v>263</v>
      </c>
      <c r="D42" s="24" t="s">
        <v>191</v>
      </c>
      <c r="E42" s="31" t="s">
        <v>192</v>
      </c>
      <c r="F42" s="26" t="s">
        <v>273</v>
      </c>
      <c r="G42" s="26" t="s">
        <v>274</v>
      </c>
    </row>
    <row r="43" customFormat="false" ht="39.75" hidden="false" customHeight="true" outlineLevel="0" collapsed="false">
      <c r="A43" s="24" t="s">
        <v>261</v>
      </c>
      <c r="B43" s="24" t="s">
        <v>262</v>
      </c>
      <c r="C43" s="24" t="s">
        <v>263</v>
      </c>
      <c r="D43" s="24" t="s">
        <v>195</v>
      </c>
      <c r="E43" s="29" t="s">
        <v>196</v>
      </c>
      <c r="F43" s="26" t="s">
        <v>739</v>
      </c>
      <c r="G43" s="26" t="s">
        <v>740</v>
      </c>
    </row>
    <row r="44" customFormat="false" ht="39.75" hidden="false" customHeight="true" outlineLevel="0" collapsed="false">
      <c r="A44" s="24" t="s">
        <v>277</v>
      </c>
      <c r="B44" s="24" t="s">
        <v>278</v>
      </c>
      <c r="C44" s="24" t="s">
        <v>279</v>
      </c>
      <c r="D44" s="24" t="s">
        <v>171</v>
      </c>
      <c r="E44" s="25" t="s">
        <v>172</v>
      </c>
      <c r="F44" s="26" t="s">
        <v>741</v>
      </c>
      <c r="G44" s="26" t="s">
        <v>742</v>
      </c>
    </row>
    <row r="45" customFormat="false" ht="42" hidden="false" customHeight="true" outlineLevel="0" collapsed="false">
      <c r="A45" s="24" t="s">
        <v>277</v>
      </c>
      <c r="B45" s="24" t="s">
        <v>278</v>
      </c>
      <c r="C45" s="24" t="s">
        <v>279</v>
      </c>
      <c r="D45" s="24" t="s">
        <v>175</v>
      </c>
      <c r="E45" s="27" t="s">
        <v>176</v>
      </c>
      <c r="F45" s="26" t="s">
        <v>282</v>
      </c>
      <c r="G45" s="26" t="s">
        <v>283</v>
      </c>
    </row>
    <row r="46" customFormat="false" ht="39.75" hidden="false" customHeight="true" outlineLevel="0" collapsed="false">
      <c r="A46" s="24" t="s">
        <v>277</v>
      </c>
      <c r="B46" s="24" t="s">
        <v>278</v>
      </c>
      <c r="C46" s="24" t="s">
        <v>279</v>
      </c>
      <c r="D46" s="24" t="s">
        <v>179</v>
      </c>
      <c r="E46" s="28" t="s">
        <v>180</v>
      </c>
      <c r="F46" s="26" t="s">
        <v>284</v>
      </c>
      <c r="G46" s="26" t="s">
        <v>285</v>
      </c>
    </row>
    <row r="47" customFormat="false" ht="39.75" hidden="false" customHeight="true" outlineLevel="0" collapsed="false">
      <c r="A47" s="24" t="s">
        <v>277</v>
      </c>
      <c r="B47" s="24" t="s">
        <v>278</v>
      </c>
      <c r="C47" s="24" t="s">
        <v>279</v>
      </c>
      <c r="D47" s="24" t="s">
        <v>183</v>
      </c>
      <c r="E47" s="29" t="s">
        <v>184</v>
      </c>
      <c r="F47" s="26" t="s">
        <v>286</v>
      </c>
      <c r="G47" s="26" t="s">
        <v>287</v>
      </c>
    </row>
    <row r="48" customFormat="false" ht="111.75" hidden="false" customHeight="true" outlineLevel="0" collapsed="false">
      <c r="A48" s="24" t="s">
        <v>277</v>
      </c>
      <c r="B48" s="24" t="s">
        <v>278</v>
      </c>
      <c r="C48" s="24" t="s">
        <v>279</v>
      </c>
      <c r="D48" s="24" t="s">
        <v>187</v>
      </c>
      <c r="E48" s="30" t="s">
        <v>188</v>
      </c>
      <c r="F48" s="26" t="s">
        <v>189</v>
      </c>
      <c r="G48" s="26" t="s">
        <v>743</v>
      </c>
    </row>
    <row r="49" customFormat="false" ht="39.75" hidden="false" customHeight="true" outlineLevel="0" collapsed="false">
      <c r="A49" s="24" t="s">
        <v>277</v>
      </c>
      <c r="B49" s="24" t="s">
        <v>278</v>
      </c>
      <c r="C49" s="24" t="s">
        <v>279</v>
      </c>
      <c r="D49" s="24" t="s">
        <v>191</v>
      </c>
      <c r="E49" s="31" t="s">
        <v>192</v>
      </c>
      <c r="F49" s="26" t="s">
        <v>289</v>
      </c>
      <c r="G49" s="26" t="s">
        <v>290</v>
      </c>
    </row>
    <row r="50" customFormat="false" ht="39.75" hidden="false" customHeight="true" outlineLevel="0" collapsed="false">
      <c r="A50" s="24" t="s">
        <v>277</v>
      </c>
      <c r="B50" s="24" t="s">
        <v>278</v>
      </c>
      <c r="C50" s="24" t="s">
        <v>279</v>
      </c>
      <c r="D50" s="24" t="s">
        <v>195</v>
      </c>
      <c r="E50" s="29" t="s">
        <v>196</v>
      </c>
      <c r="F50" s="26" t="s">
        <v>744</v>
      </c>
      <c r="G50" s="26" t="s">
        <v>710</v>
      </c>
    </row>
    <row r="51" customFormat="false" ht="39.75" hidden="false" customHeight="true" outlineLevel="0" collapsed="false">
      <c r="A51" s="24" t="s">
        <v>291</v>
      </c>
      <c r="B51" s="24" t="s">
        <v>169</v>
      </c>
      <c r="C51" s="24" t="s">
        <v>292</v>
      </c>
      <c r="D51" s="24" t="s">
        <v>171</v>
      </c>
      <c r="E51" s="25" t="s">
        <v>172</v>
      </c>
      <c r="F51" s="26" t="s">
        <v>745</v>
      </c>
      <c r="G51" s="26" t="s">
        <v>746</v>
      </c>
    </row>
    <row r="52" customFormat="false" ht="42" hidden="false" customHeight="true" outlineLevel="0" collapsed="false">
      <c r="A52" s="24" t="s">
        <v>291</v>
      </c>
      <c r="B52" s="24" t="s">
        <v>169</v>
      </c>
      <c r="C52" s="24" t="s">
        <v>292</v>
      </c>
      <c r="D52" s="24" t="s">
        <v>175</v>
      </c>
      <c r="E52" s="27" t="s">
        <v>176</v>
      </c>
      <c r="F52" s="26" t="s">
        <v>295</v>
      </c>
      <c r="G52" s="26" t="s">
        <v>296</v>
      </c>
    </row>
    <row r="53" customFormat="false" ht="39.75" hidden="false" customHeight="true" outlineLevel="0" collapsed="false">
      <c r="A53" s="24" t="s">
        <v>291</v>
      </c>
      <c r="B53" s="24" t="s">
        <v>169</v>
      </c>
      <c r="C53" s="24" t="s">
        <v>292</v>
      </c>
      <c r="D53" s="24" t="s">
        <v>179</v>
      </c>
      <c r="E53" s="28" t="s">
        <v>180</v>
      </c>
      <c r="F53" s="26" t="s">
        <v>297</v>
      </c>
      <c r="G53" s="26" t="s">
        <v>298</v>
      </c>
    </row>
    <row r="54" customFormat="false" ht="39.75" hidden="false" customHeight="true" outlineLevel="0" collapsed="false">
      <c r="A54" s="24" t="s">
        <v>291</v>
      </c>
      <c r="B54" s="24" t="s">
        <v>169</v>
      </c>
      <c r="C54" s="24" t="s">
        <v>292</v>
      </c>
      <c r="D54" s="24" t="s">
        <v>183</v>
      </c>
      <c r="E54" s="29" t="s">
        <v>184</v>
      </c>
      <c r="F54" s="26" t="s">
        <v>299</v>
      </c>
      <c r="G54" s="26" t="s">
        <v>300</v>
      </c>
    </row>
    <row r="55" customFormat="false" ht="126" hidden="false" customHeight="true" outlineLevel="0" collapsed="false">
      <c r="A55" s="24" t="s">
        <v>291</v>
      </c>
      <c r="B55" s="24" t="s">
        <v>169</v>
      </c>
      <c r="C55" s="24" t="s">
        <v>292</v>
      </c>
      <c r="D55" s="24" t="s">
        <v>187</v>
      </c>
      <c r="E55" s="30" t="s">
        <v>188</v>
      </c>
      <c r="F55" s="26" t="s">
        <v>189</v>
      </c>
      <c r="G55" s="26" t="s">
        <v>747</v>
      </c>
    </row>
    <row r="56" customFormat="false" ht="39.75" hidden="false" customHeight="true" outlineLevel="0" collapsed="false">
      <c r="A56" s="24" t="s">
        <v>291</v>
      </c>
      <c r="B56" s="24" t="s">
        <v>169</v>
      </c>
      <c r="C56" s="24" t="s">
        <v>292</v>
      </c>
      <c r="D56" s="24" t="s">
        <v>191</v>
      </c>
      <c r="E56" s="31" t="s">
        <v>192</v>
      </c>
      <c r="F56" s="26" t="s">
        <v>302</v>
      </c>
      <c r="G56" s="26" t="s">
        <v>303</v>
      </c>
    </row>
    <row r="57" customFormat="false" ht="39.75" hidden="false" customHeight="true" outlineLevel="0" collapsed="false">
      <c r="A57" s="24" t="s">
        <v>291</v>
      </c>
      <c r="B57" s="24" t="s">
        <v>169</v>
      </c>
      <c r="C57" s="24" t="s">
        <v>292</v>
      </c>
      <c r="D57" s="24" t="s">
        <v>195</v>
      </c>
      <c r="E57" s="29" t="s">
        <v>196</v>
      </c>
      <c r="F57" s="26" t="s">
        <v>725</v>
      </c>
      <c r="G57" s="26" t="s">
        <v>726</v>
      </c>
    </row>
    <row r="58" customFormat="false" ht="39.75" hidden="false" customHeight="true" outlineLevel="0" collapsed="false">
      <c r="A58" s="24" t="s">
        <v>304</v>
      </c>
      <c r="B58" s="24" t="s">
        <v>200</v>
      </c>
      <c r="C58" s="24" t="s">
        <v>305</v>
      </c>
      <c r="D58" s="24" t="s">
        <v>171</v>
      </c>
      <c r="E58" s="25" t="s">
        <v>172</v>
      </c>
      <c r="F58" s="26" t="s">
        <v>748</v>
      </c>
      <c r="G58" s="26" t="s">
        <v>749</v>
      </c>
    </row>
    <row r="59" customFormat="false" ht="55.5" hidden="false" customHeight="true" outlineLevel="0" collapsed="false">
      <c r="A59" s="24" t="s">
        <v>304</v>
      </c>
      <c r="B59" s="24" t="s">
        <v>200</v>
      </c>
      <c r="C59" s="24" t="s">
        <v>305</v>
      </c>
      <c r="D59" s="24" t="s">
        <v>175</v>
      </c>
      <c r="E59" s="27" t="s">
        <v>176</v>
      </c>
      <c r="F59" s="26" t="s">
        <v>308</v>
      </c>
      <c r="G59" s="26" t="s">
        <v>309</v>
      </c>
    </row>
    <row r="60" customFormat="false" ht="39.75" hidden="false" customHeight="true" outlineLevel="0" collapsed="false">
      <c r="A60" s="24" t="s">
        <v>304</v>
      </c>
      <c r="B60" s="24" t="s">
        <v>200</v>
      </c>
      <c r="C60" s="24" t="s">
        <v>305</v>
      </c>
      <c r="D60" s="24" t="s">
        <v>179</v>
      </c>
      <c r="E60" s="28" t="s">
        <v>180</v>
      </c>
      <c r="F60" s="26" t="s">
        <v>310</v>
      </c>
      <c r="G60" s="26" t="s">
        <v>311</v>
      </c>
    </row>
    <row r="61" customFormat="false" ht="39.75" hidden="false" customHeight="true" outlineLevel="0" collapsed="false">
      <c r="A61" s="24" t="s">
        <v>304</v>
      </c>
      <c r="B61" s="24" t="s">
        <v>200</v>
      </c>
      <c r="C61" s="24" t="s">
        <v>305</v>
      </c>
      <c r="D61" s="24" t="s">
        <v>183</v>
      </c>
      <c r="E61" s="29" t="s">
        <v>184</v>
      </c>
      <c r="F61" s="26" t="s">
        <v>750</v>
      </c>
      <c r="G61" s="26" t="s">
        <v>751</v>
      </c>
    </row>
    <row r="62" customFormat="false" ht="111.75" hidden="false" customHeight="true" outlineLevel="0" collapsed="false">
      <c r="A62" s="24" t="s">
        <v>304</v>
      </c>
      <c r="B62" s="24" t="s">
        <v>200</v>
      </c>
      <c r="C62" s="24" t="s">
        <v>305</v>
      </c>
      <c r="D62" s="24" t="s">
        <v>187</v>
      </c>
      <c r="E62" s="30" t="s">
        <v>188</v>
      </c>
      <c r="F62" s="26" t="s">
        <v>189</v>
      </c>
      <c r="G62" s="26" t="s">
        <v>724</v>
      </c>
    </row>
    <row r="63" customFormat="false" ht="39.75" hidden="false" customHeight="true" outlineLevel="0" collapsed="false">
      <c r="A63" s="24" t="s">
        <v>304</v>
      </c>
      <c r="B63" s="24" t="s">
        <v>200</v>
      </c>
      <c r="C63" s="24" t="s">
        <v>305</v>
      </c>
      <c r="D63" s="24" t="s">
        <v>191</v>
      </c>
      <c r="E63" s="31" t="s">
        <v>192</v>
      </c>
      <c r="F63" s="26" t="s">
        <v>314</v>
      </c>
      <c r="G63" s="26" t="s">
        <v>315</v>
      </c>
    </row>
    <row r="64" customFormat="false" ht="39.75" hidden="false" customHeight="true" outlineLevel="0" collapsed="false">
      <c r="A64" s="24" t="s">
        <v>304</v>
      </c>
      <c r="B64" s="24" t="s">
        <v>200</v>
      </c>
      <c r="C64" s="24" t="s">
        <v>305</v>
      </c>
      <c r="D64" s="24" t="s">
        <v>195</v>
      </c>
      <c r="E64" s="29" t="s">
        <v>196</v>
      </c>
      <c r="F64" s="26" t="s">
        <v>732</v>
      </c>
      <c r="G64" s="26" t="s">
        <v>733</v>
      </c>
    </row>
    <row r="65" customFormat="false" ht="39.75" hidden="false" customHeight="true" outlineLevel="0" collapsed="false">
      <c r="A65" s="32" t="s">
        <v>316</v>
      </c>
      <c r="B65" s="32" t="s">
        <v>216</v>
      </c>
      <c r="C65" s="32" t="s">
        <v>317</v>
      </c>
      <c r="D65" s="24" t="s">
        <v>171</v>
      </c>
      <c r="E65" s="25" t="s">
        <v>172</v>
      </c>
      <c r="F65" s="26" t="s">
        <v>752</v>
      </c>
      <c r="G65" s="26" t="s">
        <v>753</v>
      </c>
    </row>
    <row r="66" customFormat="false" ht="55.5" hidden="false" customHeight="true" outlineLevel="0" collapsed="false">
      <c r="A66" s="24" t="s">
        <v>316</v>
      </c>
      <c r="B66" s="24" t="s">
        <v>216</v>
      </c>
      <c r="C66" s="24" t="s">
        <v>317</v>
      </c>
      <c r="D66" s="24" t="s">
        <v>175</v>
      </c>
      <c r="E66" s="27" t="s">
        <v>176</v>
      </c>
      <c r="F66" s="26" t="s">
        <v>320</v>
      </c>
      <c r="G66" s="26" t="s">
        <v>321</v>
      </c>
    </row>
    <row r="67" customFormat="false" ht="39.75" hidden="false" customHeight="true" outlineLevel="0" collapsed="false">
      <c r="A67" s="24" t="s">
        <v>316</v>
      </c>
      <c r="B67" s="24" t="s">
        <v>216</v>
      </c>
      <c r="C67" s="24" t="s">
        <v>317</v>
      </c>
      <c r="D67" s="24" t="s">
        <v>179</v>
      </c>
      <c r="E67" s="28" t="s">
        <v>180</v>
      </c>
      <c r="F67" s="26" t="s">
        <v>322</v>
      </c>
      <c r="G67" s="26" t="s">
        <v>323</v>
      </c>
    </row>
    <row r="68" customFormat="false" ht="39.75" hidden="false" customHeight="true" outlineLevel="0" collapsed="false">
      <c r="A68" s="24" t="s">
        <v>316</v>
      </c>
      <c r="B68" s="24" t="s">
        <v>216</v>
      </c>
      <c r="C68" s="24" t="s">
        <v>317</v>
      </c>
      <c r="D68" s="24" t="s">
        <v>183</v>
      </c>
      <c r="E68" s="29" t="s">
        <v>184</v>
      </c>
      <c r="F68" s="26" t="s">
        <v>324</v>
      </c>
      <c r="G68" s="26" t="s">
        <v>325</v>
      </c>
    </row>
    <row r="69" customFormat="false" ht="111.75" hidden="false" customHeight="true" outlineLevel="0" collapsed="false">
      <c r="A69" s="24" t="s">
        <v>316</v>
      </c>
      <c r="B69" s="24" t="s">
        <v>216</v>
      </c>
      <c r="C69" s="24" t="s">
        <v>317</v>
      </c>
      <c r="D69" s="24" t="s">
        <v>187</v>
      </c>
      <c r="E69" s="30" t="s">
        <v>188</v>
      </c>
      <c r="F69" s="26" t="s">
        <v>189</v>
      </c>
      <c r="G69" s="26" t="s">
        <v>754</v>
      </c>
    </row>
    <row r="70" customFormat="false" ht="39.75" hidden="false" customHeight="true" outlineLevel="0" collapsed="false">
      <c r="A70" s="24" t="s">
        <v>316</v>
      </c>
      <c r="B70" s="24" t="s">
        <v>216</v>
      </c>
      <c r="C70" s="24" t="s">
        <v>317</v>
      </c>
      <c r="D70" s="24" t="s">
        <v>191</v>
      </c>
      <c r="E70" s="31" t="s">
        <v>192</v>
      </c>
      <c r="F70" s="26" t="s">
        <v>327</v>
      </c>
      <c r="G70" s="26" t="s">
        <v>328</v>
      </c>
    </row>
    <row r="71" customFormat="false" ht="39.75" hidden="false" customHeight="true" outlineLevel="0" collapsed="false">
      <c r="A71" s="24" t="s">
        <v>316</v>
      </c>
      <c r="B71" s="24" t="s">
        <v>216</v>
      </c>
      <c r="C71" s="24" t="s">
        <v>317</v>
      </c>
      <c r="D71" s="24" t="s">
        <v>195</v>
      </c>
      <c r="E71" s="29" t="s">
        <v>196</v>
      </c>
      <c r="F71" s="26" t="s">
        <v>755</v>
      </c>
      <c r="G71" s="26" t="s">
        <v>710</v>
      </c>
    </row>
    <row r="72" customFormat="false" ht="39.75" hidden="false" customHeight="true" outlineLevel="0" collapsed="false">
      <c r="A72" s="24" t="s">
        <v>331</v>
      </c>
      <c r="B72" s="24" t="s">
        <v>232</v>
      </c>
      <c r="C72" s="24" t="s">
        <v>332</v>
      </c>
      <c r="D72" s="24" t="s">
        <v>171</v>
      </c>
      <c r="E72" s="25" t="s">
        <v>172</v>
      </c>
      <c r="F72" s="26" t="s">
        <v>756</v>
      </c>
      <c r="G72" s="26" t="s">
        <v>757</v>
      </c>
    </row>
    <row r="73" customFormat="false" ht="55.5" hidden="false" customHeight="true" outlineLevel="0" collapsed="false">
      <c r="A73" s="24" t="s">
        <v>331</v>
      </c>
      <c r="B73" s="24" t="s">
        <v>232</v>
      </c>
      <c r="C73" s="24" t="s">
        <v>332</v>
      </c>
      <c r="D73" s="24" t="s">
        <v>175</v>
      </c>
      <c r="E73" s="27" t="s">
        <v>176</v>
      </c>
      <c r="F73" s="26" t="s">
        <v>335</v>
      </c>
      <c r="G73" s="26" t="s">
        <v>336</v>
      </c>
    </row>
    <row r="74" customFormat="false" ht="39.75" hidden="false" customHeight="true" outlineLevel="0" collapsed="false">
      <c r="A74" s="24" t="s">
        <v>331</v>
      </c>
      <c r="B74" s="24" t="s">
        <v>232</v>
      </c>
      <c r="C74" s="24" t="s">
        <v>332</v>
      </c>
      <c r="D74" s="24" t="s">
        <v>179</v>
      </c>
      <c r="E74" s="28" t="s">
        <v>180</v>
      </c>
      <c r="F74" s="26" t="s">
        <v>337</v>
      </c>
      <c r="G74" s="26" t="s">
        <v>338</v>
      </c>
    </row>
    <row r="75" customFormat="false" ht="39.75" hidden="false" customHeight="true" outlineLevel="0" collapsed="false">
      <c r="A75" s="24" t="s">
        <v>331</v>
      </c>
      <c r="B75" s="24" t="s">
        <v>232</v>
      </c>
      <c r="C75" s="24" t="s">
        <v>332</v>
      </c>
      <c r="D75" s="24" t="s">
        <v>183</v>
      </c>
      <c r="E75" s="29" t="s">
        <v>184</v>
      </c>
      <c r="F75" s="26" t="s">
        <v>729</v>
      </c>
      <c r="G75" s="26" t="s">
        <v>730</v>
      </c>
    </row>
    <row r="76" customFormat="false" ht="111.75" hidden="false" customHeight="true" outlineLevel="0" collapsed="false">
      <c r="A76" s="24" t="s">
        <v>331</v>
      </c>
      <c r="B76" s="24" t="s">
        <v>232</v>
      </c>
      <c r="C76" s="24" t="s">
        <v>332</v>
      </c>
      <c r="D76" s="24" t="s">
        <v>187</v>
      </c>
      <c r="E76" s="30" t="s">
        <v>188</v>
      </c>
      <c r="F76" s="26" t="s">
        <v>189</v>
      </c>
      <c r="G76" s="26" t="s">
        <v>758</v>
      </c>
    </row>
    <row r="77" customFormat="false" ht="39.75" hidden="false" customHeight="true" outlineLevel="0" collapsed="false">
      <c r="A77" s="24" t="s">
        <v>331</v>
      </c>
      <c r="B77" s="24" t="s">
        <v>232</v>
      </c>
      <c r="C77" s="24" t="s">
        <v>332</v>
      </c>
      <c r="D77" s="24" t="s">
        <v>191</v>
      </c>
      <c r="E77" s="31" t="s">
        <v>192</v>
      </c>
      <c r="F77" s="26" t="s">
        <v>340</v>
      </c>
      <c r="G77" s="26" t="s">
        <v>341</v>
      </c>
    </row>
    <row r="78" customFormat="false" ht="39.75" hidden="false" customHeight="true" outlineLevel="0" collapsed="false">
      <c r="A78" s="24" t="s">
        <v>331</v>
      </c>
      <c r="B78" s="24" t="s">
        <v>232</v>
      </c>
      <c r="C78" s="24" t="s">
        <v>332</v>
      </c>
      <c r="D78" s="24" t="s">
        <v>195</v>
      </c>
      <c r="E78" s="29" t="s">
        <v>196</v>
      </c>
      <c r="F78" s="26" t="s">
        <v>718</v>
      </c>
      <c r="G78" s="26" t="s">
        <v>719</v>
      </c>
    </row>
    <row r="79" customFormat="false" ht="39.75" hidden="false" customHeight="true" outlineLevel="0" collapsed="false">
      <c r="A79" s="24" t="s">
        <v>342</v>
      </c>
      <c r="B79" s="24" t="s">
        <v>248</v>
      </c>
      <c r="C79" s="24" t="s">
        <v>343</v>
      </c>
      <c r="D79" s="24" t="s">
        <v>171</v>
      </c>
      <c r="E79" s="25" t="s">
        <v>172</v>
      </c>
      <c r="F79" s="26" t="s">
        <v>759</v>
      </c>
      <c r="G79" s="26" t="s">
        <v>760</v>
      </c>
    </row>
    <row r="80" customFormat="false" ht="55.5" hidden="false" customHeight="true" outlineLevel="0" collapsed="false">
      <c r="A80" s="24" t="s">
        <v>342</v>
      </c>
      <c r="B80" s="24" t="s">
        <v>248</v>
      </c>
      <c r="C80" s="24" t="s">
        <v>343</v>
      </c>
      <c r="D80" s="24" t="s">
        <v>175</v>
      </c>
      <c r="E80" s="27" t="s">
        <v>176</v>
      </c>
      <c r="F80" s="26" t="s">
        <v>346</v>
      </c>
      <c r="G80" s="26" t="s">
        <v>347</v>
      </c>
    </row>
    <row r="81" customFormat="false" ht="39.75" hidden="false" customHeight="true" outlineLevel="0" collapsed="false">
      <c r="A81" s="24" t="s">
        <v>342</v>
      </c>
      <c r="B81" s="24" t="s">
        <v>248</v>
      </c>
      <c r="C81" s="24" t="s">
        <v>343</v>
      </c>
      <c r="D81" s="24" t="s">
        <v>179</v>
      </c>
      <c r="E81" s="28" t="s">
        <v>180</v>
      </c>
      <c r="F81" s="26" t="s">
        <v>348</v>
      </c>
      <c r="G81" s="26" t="s">
        <v>349</v>
      </c>
    </row>
    <row r="82" customFormat="false" ht="39.75" hidden="false" customHeight="true" outlineLevel="0" collapsed="false">
      <c r="A82" s="24" t="s">
        <v>342</v>
      </c>
      <c r="B82" s="24" t="s">
        <v>248</v>
      </c>
      <c r="C82" s="24" t="s">
        <v>343</v>
      </c>
      <c r="D82" s="24" t="s">
        <v>183</v>
      </c>
      <c r="E82" s="29" t="s">
        <v>184</v>
      </c>
      <c r="F82" s="26" t="s">
        <v>350</v>
      </c>
      <c r="G82" s="26" t="s">
        <v>351</v>
      </c>
    </row>
    <row r="83" customFormat="false" ht="111.75" hidden="false" customHeight="true" outlineLevel="0" collapsed="false">
      <c r="A83" s="24" t="s">
        <v>342</v>
      </c>
      <c r="B83" s="24" t="s">
        <v>248</v>
      </c>
      <c r="C83" s="24" t="s">
        <v>343</v>
      </c>
      <c r="D83" s="24" t="s">
        <v>187</v>
      </c>
      <c r="E83" s="30" t="s">
        <v>188</v>
      </c>
      <c r="F83" s="26" t="s">
        <v>189</v>
      </c>
      <c r="G83" s="26" t="s">
        <v>761</v>
      </c>
    </row>
    <row r="84" customFormat="false" ht="39.75" hidden="false" customHeight="true" outlineLevel="0" collapsed="false">
      <c r="A84" s="24" t="s">
        <v>342</v>
      </c>
      <c r="B84" s="24" t="s">
        <v>248</v>
      </c>
      <c r="C84" s="24" t="s">
        <v>343</v>
      </c>
      <c r="D84" s="24" t="s">
        <v>191</v>
      </c>
      <c r="E84" s="31" t="s">
        <v>192</v>
      </c>
      <c r="F84" s="26" t="s">
        <v>353</v>
      </c>
      <c r="G84" s="26" t="s">
        <v>354</v>
      </c>
    </row>
    <row r="85" customFormat="false" ht="39.75" hidden="false" customHeight="true" outlineLevel="0" collapsed="false">
      <c r="A85" s="24" t="s">
        <v>342</v>
      </c>
      <c r="B85" s="24" t="s">
        <v>248</v>
      </c>
      <c r="C85" s="24" t="s">
        <v>343</v>
      </c>
      <c r="D85" s="24" t="s">
        <v>195</v>
      </c>
      <c r="E85" s="29" t="s">
        <v>196</v>
      </c>
      <c r="F85" s="26" t="s">
        <v>725</v>
      </c>
      <c r="G85" s="26" t="s">
        <v>726</v>
      </c>
    </row>
    <row r="86" customFormat="false" ht="39.75" hidden="false" customHeight="true" outlineLevel="0" collapsed="false">
      <c r="A86" s="24" t="s">
        <v>355</v>
      </c>
      <c r="B86" s="24" t="s">
        <v>262</v>
      </c>
      <c r="C86" s="24" t="s">
        <v>356</v>
      </c>
      <c r="D86" s="24" t="s">
        <v>171</v>
      </c>
      <c r="E86" s="25" t="s">
        <v>172</v>
      </c>
      <c r="F86" s="26" t="s">
        <v>357</v>
      </c>
      <c r="G86" s="26" t="s">
        <v>358</v>
      </c>
    </row>
    <row r="87" customFormat="false" ht="55.5" hidden="false" customHeight="true" outlineLevel="0" collapsed="false">
      <c r="A87" s="24" t="s">
        <v>355</v>
      </c>
      <c r="B87" s="24" t="s">
        <v>262</v>
      </c>
      <c r="C87" s="24" t="s">
        <v>356</v>
      </c>
      <c r="D87" s="24" t="s">
        <v>175</v>
      </c>
      <c r="E87" s="27" t="s">
        <v>176</v>
      </c>
      <c r="F87" s="26" t="s">
        <v>359</v>
      </c>
      <c r="G87" s="26" t="s">
        <v>360</v>
      </c>
    </row>
    <row r="88" customFormat="false" ht="39.75" hidden="false" customHeight="true" outlineLevel="0" collapsed="false">
      <c r="A88" s="24" t="s">
        <v>355</v>
      </c>
      <c r="B88" s="24" t="s">
        <v>262</v>
      </c>
      <c r="C88" s="24" t="s">
        <v>356</v>
      </c>
      <c r="D88" s="24" t="s">
        <v>179</v>
      </c>
      <c r="E88" s="28" t="s">
        <v>180</v>
      </c>
      <c r="F88" s="26" t="s">
        <v>361</v>
      </c>
      <c r="G88" s="26" t="s">
        <v>362</v>
      </c>
    </row>
    <row r="89" customFormat="false" ht="39.75" hidden="false" customHeight="true" outlineLevel="0" collapsed="false">
      <c r="A89" s="24" t="s">
        <v>355</v>
      </c>
      <c r="B89" s="24" t="s">
        <v>262</v>
      </c>
      <c r="C89" s="24" t="s">
        <v>356</v>
      </c>
      <c r="D89" s="24" t="s">
        <v>183</v>
      </c>
      <c r="E89" s="29" t="s">
        <v>184</v>
      </c>
      <c r="F89" s="26" t="s">
        <v>706</v>
      </c>
      <c r="G89" s="26" t="s">
        <v>707</v>
      </c>
    </row>
    <row r="90" customFormat="false" ht="126" hidden="false" customHeight="true" outlineLevel="0" collapsed="false">
      <c r="A90" s="24" t="s">
        <v>355</v>
      </c>
      <c r="B90" s="24" t="s">
        <v>262</v>
      </c>
      <c r="C90" s="24" t="s">
        <v>356</v>
      </c>
      <c r="D90" s="24" t="s">
        <v>187</v>
      </c>
      <c r="E90" s="30" t="s">
        <v>188</v>
      </c>
      <c r="F90" s="26" t="s">
        <v>189</v>
      </c>
      <c r="G90" s="26" t="s">
        <v>762</v>
      </c>
    </row>
    <row r="91" customFormat="false" ht="39.75" hidden="false" customHeight="true" outlineLevel="0" collapsed="false">
      <c r="A91" s="24" t="s">
        <v>355</v>
      </c>
      <c r="B91" s="24" t="s">
        <v>262</v>
      </c>
      <c r="C91" s="24" t="s">
        <v>356</v>
      </c>
      <c r="D91" s="24" t="s">
        <v>191</v>
      </c>
      <c r="E91" s="31" t="s">
        <v>192</v>
      </c>
      <c r="F91" s="26" t="s">
        <v>364</v>
      </c>
      <c r="G91" s="26" t="s">
        <v>365</v>
      </c>
    </row>
    <row r="92" customFormat="false" ht="39.75" hidden="false" customHeight="true" outlineLevel="0" collapsed="false">
      <c r="A92" s="24" t="s">
        <v>355</v>
      </c>
      <c r="B92" s="24" t="s">
        <v>262</v>
      </c>
      <c r="C92" s="24" t="s">
        <v>356</v>
      </c>
      <c r="D92" s="24" t="s">
        <v>195</v>
      </c>
      <c r="E92" s="29" t="s">
        <v>196</v>
      </c>
      <c r="F92" s="26" t="s">
        <v>732</v>
      </c>
      <c r="G92" s="26" t="s">
        <v>733</v>
      </c>
    </row>
    <row r="93" customFormat="false" ht="39.75" hidden="false" customHeight="true" outlineLevel="0" collapsed="false">
      <c r="A93" s="24" t="s">
        <v>366</v>
      </c>
      <c r="B93" s="24" t="s">
        <v>278</v>
      </c>
      <c r="C93" s="24" t="s">
        <v>367</v>
      </c>
      <c r="D93" s="24" t="s">
        <v>171</v>
      </c>
      <c r="E93" s="25" t="s">
        <v>172</v>
      </c>
      <c r="F93" s="26" t="s">
        <v>368</v>
      </c>
      <c r="G93" s="26" t="s">
        <v>369</v>
      </c>
    </row>
    <row r="94" customFormat="false" ht="55.5" hidden="false" customHeight="true" outlineLevel="0" collapsed="false">
      <c r="A94" s="24" t="s">
        <v>366</v>
      </c>
      <c r="B94" s="24" t="s">
        <v>278</v>
      </c>
      <c r="C94" s="24" t="s">
        <v>367</v>
      </c>
      <c r="D94" s="24" t="s">
        <v>175</v>
      </c>
      <c r="E94" s="27" t="s">
        <v>176</v>
      </c>
      <c r="F94" s="26" t="s">
        <v>370</v>
      </c>
      <c r="G94" s="26" t="s">
        <v>371</v>
      </c>
    </row>
    <row r="95" customFormat="false" ht="39.75" hidden="false" customHeight="true" outlineLevel="0" collapsed="false">
      <c r="A95" s="24" t="s">
        <v>366</v>
      </c>
      <c r="B95" s="24" t="s">
        <v>278</v>
      </c>
      <c r="C95" s="24" t="s">
        <v>367</v>
      </c>
      <c r="D95" s="24" t="s">
        <v>179</v>
      </c>
      <c r="E95" s="28" t="s">
        <v>180</v>
      </c>
      <c r="F95" s="26" t="s">
        <v>372</v>
      </c>
      <c r="G95" s="26" t="s">
        <v>373</v>
      </c>
    </row>
    <row r="96" customFormat="false" ht="39.75" hidden="false" customHeight="true" outlineLevel="0" collapsed="false">
      <c r="A96" s="24" t="s">
        <v>366</v>
      </c>
      <c r="B96" s="24" t="s">
        <v>278</v>
      </c>
      <c r="C96" s="24" t="s">
        <v>367</v>
      </c>
      <c r="D96" s="24" t="s">
        <v>183</v>
      </c>
      <c r="E96" s="29" t="s">
        <v>184</v>
      </c>
      <c r="F96" s="26" t="s">
        <v>763</v>
      </c>
      <c r="G96" s="26" t="s">
        <v>764</v>
      </c>
    </row>
    <row r="97" customFormat="false" ht="126" hidden="false" customHeight="true" outlineLevel="0" collapsed="false">
      <c r="A97" s="24" t="s">
        <v>366</v>
      </c>
      <c r="B97" s="24" t="s">
        <v>278</v>
      </c>
      <c r="C97" s="24" t="s">
        <v>367</v>
      </c>
      <c r="D97" s="24" t="s">
        <v>187</v>
      </c>
      <c r="E97" s="30" t="s">
        <v>188</v>
      </c>
      <c r="F97" s="26" t="s">
        <v>189</v>
      </c>
      <c r="G97" s="26" t="s">
        <v>765</v>
      </c>
    </row>
    <row r="98" customFormat="false" ht="39.75" hidden="false" customHeight="true" outlineLevel="0" collapsed="false">
      <c r="A98" s="24" t="s">
        <v>366</v>
      </c>
      <c r="B98" s="24" t="s">
        <v>278</v>
      </c>
      <c r="C98" s="24" t="s">
        <v>367</v>
      </c>
      <c r="D98" s="24" t="s">
        <v>191</v>
      </c>
      <c r="E98" s="31" t="s">
        <v>192</v>
      </c>
      <c r="F98" s="26" t="s">
        <v>377</v>
      </c>
      <c r="G98" s="26" t="s">
        <v>378</v>
      </c>
    </row>
    <row r="99" customFormat="false" ht="39.75" hidden="false" customHeight="true" outlineLevel="0" collapsed="false">
      <c r="A99" s="24" t="s">
        <v>366</v>
      </c>
      <c r="B99" s="24" t="s">
        <v>278</v>
      </c>
      <c r="C99" s="24" t="s">
        <v>367</v>
      </c>
      <c r="D99" s="24" t="s">
        <v>195</v>
      </c>
      <c r="E99" s="29" t="s">
        <v>196</v>
      </c>
      <c r="F99" s="26" t="s">
        <v>379</v>
      </c>
      <c r="G99" s="26" t="s">
        <v>380</v>
      </c>
    </row>
    <row r="100" customFormat="false" ht="39.75" hidden="false" customHeight="true" outlineLevel="0" collapsed="false">
      <c r="A100" s="24" t="s">
        <v>381</v>
      </c>
      <c r="B100" s="24" t="s">
        <v>169</v>
      </c>
      <c r="C100" s="24" t="s">
        <v>382</v>
      </c>
      <c r="D100" s="24" t="s">
        <v>171</v>
      </c>
      <c r="E100" s="25" t="s">
        <v>172</v>
      </c>
      <c r="F100" s="26" t="s">
        <v>766</v>
      </c>
      <c r="G100" s="26" t="s">
        <v>767</v>
      </c>
    </row>
    <row r="101" customFormat="false" ht="55.5" hidden="false" customHeight="true" outlineLevel="0" collapsed="false">
      <c r="A101" s="24" t="s">
        <v>381</v>
      </c>
      <c r="B101" s="24" t="s">
        <v>169</v>
      </c>
      <c r="C101" s="24" t="s">
        <v>382</v>
      </c>
      <c r="D101" s="24" t="s">
        <v>175</v>
      </c>
      <c r="E101" s="27" t="s">
        <v>176</v>
      </c>
      <c r="F101" s="26" t="s">
        <v>385</v>
      </c>
      <c r="G101" s="26" t="s">
        <v>386</v>
      </c>
    </row>
    <row r="102" customFormat="false" ht="39.75" hidden="false" customHeight="true" outlineLevel="0" collapsed="false">
      <c r="A102" s="24" t="s">
        <v>381</v>
      </c>
      <c r="B102" s="24" t="s">
        <v>169</v>
      </c>
      <c r="C102" s="24" t="s">
        <v>382</v>
      </c>
      <c r="D102" s="24" t="s">
        <v>179</v>
      </c>
      <c r="E102" s="28" t="s">
        <v>180</v>
      </c>
      <c r="F102" s="26" t="s">
        <v>387</v>
      </c>
      <c r="G102" s="26" t="s">
        <v>388</v>
      </c>
    </row>
    <row r="103" customFormat="false" ht="39.75" hidden="false" customHeight="true" outlineLevel="0" collapsed="false">
      <c r="A103" s="24" t="s">
        <v>381</v>
      </c>
      <c r="B103" s="24" t="s">
        <v>169</v>
      </c>
      <c r="C103" s="24" t="s">
        <v>382</v>
      </c>
      <c r="D103" s="24" t="s">
        <v>183</v>
      </c>
      <c r="E103" s="29" t="s">
        <v>184</v>
      </c>
      <c r="F103" s="26" t="s">
        <v>750</v>
      </c>
      <c r="G103" s="26" t="s">
        <v>751</v>
      </c>
    </row>
    <row r="104" customFormat="false" ht="126" hidden="false" customHeight="true" outlineLevel="0" collapsed="false">
      <c r="A104" s="24" t="s">
        <v>381</v>
      </c>
      <c r="B104" s="24" t="s">
        <v>169</v>
      </c>
      <c r="C104" s="24" t="s">
        <v>382</v>
      </c>
      <c r="D104" s="24" t="s">
        <v>187</v>
      </c>
      <c r="E104" s="30" t="s">
        <v>188</v>
      </c>
      <c r="F104" s="26" t="s">
        <v>189</v>
      </c>
      <c r="G104" s="26" t="s">
        <v>768</v>
      </c>
    </row>
    <row r="105" customFormat="false" ht="39.75" hidden="false" customHeight="true" outlineLevel="0" collapsed="false">
      <c r="A105" s="24" t="s">
        <v>381</v>
      </c>
      <c r="B105" s="24" t="s">
        <v>169</v>
      </c>
      <c r="C105" s="24" t="s">
        <v>382</v>
      </c>
      <c r="D105" s="24" t="s">
        <v>191</v>
      </c>
      <c r="E105" s="31" t="s">
        <v>192</v>
      </c>
      <c r="F105" s="26" t="s">
        <v>390</v>
      </c>
      <c r="G105" s="26" t="s">
        <v>391</v>
      </c>
    </row>
    <row r="106" customFormat="false" ht="39.75" hidden="false" customHeight="true" outlineLevel="0" collapsed="false">
      <c r="A106" s="24" t="s">
        <v>381</v>
      </c>
      <c r="B106" s="24" t="s">
        <v>169</v>
      </c>
      <c r="C106" s="24" t="s">
        <v>382</v>
      </c>
      <c r="D106" s="24" t="s">
        <v>195</v>
      </c>
      <c r="E106" s="29" t="s">
        <v>196</v>
      </c>
      <c r="F106" s="26" t="s">
        <v>718</v>
      </c>
      <c r="G106" s="26" t="s">
        <v>719</v>
      </c>
    </row>
    <row r="107" customFormat="false" ht="39.75" hidden="false" customHeight="true" outlineLevel="0" collapsed="false">
      <c r="A107" s="32" t="s">
        <v>392</v>
      </c>
      <c r="B107" s="32" t="s">
        <v>200</v>
      </c>
      <c r="C107" s="32" t="s">
        <v>393</v>
      </c>
      <c r="D107" s="24" t="s">
        <v>171</v>
      </c>
      <c r="E107" s="25" t="s">
        <v>172</v>
      </c>
      <c r="F107" s="26" t="s">
        <v>769</v>
      </c>
      <c r="G107" s="26" t="s">
        <v>770</v>
      </c>
    </row>
    <row r="108" customFormat="false" ht="42" hidden="false" customHeight="true" outlineLevel="0" collapsed="false">
      <c r="A108" s="24" t="s">
        <v>392</v>
      </c>
      <c r="B108" s="24" t="s">
        <v>200</v>
      </c>
      <c r="C108" s="24" t="s">
        <v>393</v>
      </c>
      <c r="D108" s="24" t="s">
        <v>175</v>
      </c>
      <c r="E108" s="27" t="s">
        <v>176</v>
      </c>
      <c r="F108" s="26" t="s">
        <v>396</v>
      </c>
      <c r="G108" s="26" t="s">
        <v>397</v>
      </c>
    </row>
    <row r="109" customFormat="false" ht="39.75" hidden="false" customHeight="true" outlineLevel="0" collapsed="false">
      <c r="A109" s="24" t="s">
        <v>392</v>
      </c>
      <c r="B109" s="24" t="s">
        <v>200</v>
      </c>
      <c r="C109" s="24" t="s">
        <v>393</v>
      </c>
      <c r="D109" s="24" t="s">
        <v>179</v>
      </c>
      <c r="E109" s="28" t="s">
        <v>180</v>
      </c>
      <c r="F109" s="26" t="s">
        <v>398</v>
      </c>
      <c r="G109" s="26" t="s">
        <v>399</v>
      </c>
    </row>
    <row r="110" customFormat="false" ht="39.75" hidden="false" customHeight="true" outlineLevel="0" collapsed="false">
      <c r="A110" s="24" t="s">
        <v>392</v>
      </c>
      <c r="B110" s="24" t="s">
        <v>200</v>
      </c>
      <c r="C110" s="24" t="s">
        <v>393</v>
      </c>
      <c r="D110" s="24" t="s">
        <v>183</v>
      </c>
      <c r="E110" s="29" t="s">
        <v>184</v>
      </c>
      <c r="F110" s="26" t="s">
        <v>400</v>
      </c>
      <c r="G110" s="26" t="s">
        <v>401</v>
      </c>
    </row>
    <row r="111" customFormat="false" ht="111.75" hidden="false" customHeight="true" outlineLevel="0" collapsed="false">
      <c r="A111" s="24" t="s">
        <v>392</v>
      </c>
      <c r="B111" s="24" t="s">
        <v>200</v>
      </c>
      <c r="C111" s="24" t="s">
        <v>393</v>
      </c>
      <c r="D111" s="24" t="s">
        <v>187</v>
      </c>
      <c r="E111" s="30" t="s">
        <v>188</v>
      </c>
      <c r="F111" s="26" t="s">
        <v>189</v>
      </c>
      <c r="G111" s="26" t="s">
        <v>771</v>
      </c>
    </row>
    <row r="112" customFormat="false" ht="39.75" hidden="false" customHeight="true" outlineLevel="0" collapsed="false">
      <c r="A112" s="24" t="s">
        <v>392</v>
      </c>
      <c r="B112" s="24" t="s">
        <v>200</v>
      </c>
      <c r="C112" s="24" t="s">
        <v>393</v>
      </c>
      <c r="D112" s="24" t="s">
        <v>191</v>
      </c>
      <c r="E112" s="31" t="s">
        <v>192</v>
      </c>
      <c r="F112" s="26" t="s">
        <v>403</v>
      </c>
      <c r="G112" s="26" t="s">
        <v>404</v>
      </c>
    </row>
    <row r="113" customFormat="false" ht="39.75" hidden="false" customHeight="true" outlineLevel="0" collapsed="false">
      <c r="A113" s="24" t="s">
        <v>392</v>
      </c>
      <c r="B113" s="24" t="s">
        <v>200</v>
      </c>
      <c r="C113" s="24" t="s">
        <v>393</v>
      </c>
      <c r="D113" s="24" t="s">
        <v>195</v>
      </c>
      <c r="E113" s="29" t="s">
        <v>196</v>
      </c>
      <c r="F113" s="26" t="s">
        <v>772</v>
      </c>
      <c r="G113" s="26" t="s">
        <v>710</v>
      </c>
    </row>
    <row r="114" customFormat="false" ht="39.75" hidden="false" customHeight="true" outlineLevel="0" collapsed="false">
      <c r="A114" s="24" t="s">
        <v>407</v>
      </c>
      <c r="B114" s="24" t="s">
        <v>216</v>
      </c>
      <c r="C114" s="24" t="s">
        <v>408</v>
      </c>
      <c r="D114" s="24" t="s">
        <v>171</v>
      </c>
      <c r="E114" s="25" t="s">
        <v>172</v>
      </c>
      <c r="F114" s="26" t="s">
        <v>773</v>
      </c>
      <c r="G114" s="26" t="s">
        <v>774</v>
      </c>
    </row>
    <row r="115" customFormat="false" ht="42" hidden="false" customHeight="true" outlineLevel="0" collapsed="false">
      <c r="A115" s="24" t="s">
        <v>407</v>
      </c>
      <c r="B115" s="24" t="s">
        <v>216</v>
      </c>
      <c r="C115" s="24" t="s">
        <v>408</v>
      </c>
      <c r="D115" s="24" t="s">
        <v>175</v>
      </c>
      <c r="E115" s="27" t="s">
        <v>176</v>
      </c>
      <c r="F115" s="26" t="s">
        <v>411</v>
      </c>
      <c r="G115" s="26" t="s">
        <v>412</v>
      </c>
    </row>
    <row r="116" customFormat="false" ht="39.75" hidden="false" customHeight="true" outlineLevel="0" collapsed="false">
      <c r="A116" s="24" t="s">
        <v>407</v>
      </c>
      <c r="B116" s="24" t="s">
        <v>216</v>
      </c>
      <c r="C116" s="24" t="s">
        <v>408</v>
      </c>
      <c r="D116" s="24" t="s">
        <v>179</v>
      </c>
      <c r="E116" s="28" t="s">
        <v>180</v>
      </c>
      <c r="F116" s="26" t="s">
        <v>413</v>
      </c>
      <c r="G116" s="26" t="s">
        <v>414</v>
      </c>
    </row>
    <row r="117" customFormat="false" ht="39.75" hidden="false" customHeight="true" outlineLevel="0" collapsed="false">
      <c r="A117" s="24" t="s">
        <v>407</v>
      </c>
      <c r="B117" s="24" t="s">
        <v>216</v>
      </c>
      <c r="C117" s="24" t="s">
        <v>408</v>
      </c>
      <c r="D117" s="24" t="s">
        <v>183</v>
      </c>
      <c r="E117" s="29" t="s">
        <v>184</v>
      </c>
      <c r="F117" s="26" t="s">
        <v>415</v>
      </c>
      <c r="G117" s="26" t="s">
        <v>416</v>
      </c>
    </row>
    <row r="118" customFormat="false" ht="111.75" hidden="false" customHeight="true" outlineLevel="0" collapsed="false">
      <c r="A118" s="24" t="s">
        <v>407</v>
      </c>
      <c r="B118" s="24" t="s">
        <v>216</v>
      </c>
      <c r="C118" s="24" t="s">
        <v>408</v>
      </c>
      <c r="D118" s="24" t="s">
        <v>187</v>
      </c>
      <c r="E118" s="30" t="s">
        <v>188</v>
      </c>
      <c r="F118" s="26" t="s">
        <v>189</v>
      </c>
      <c r="G118" s="26" t="s">
        <v>775</v>
      </c>
    </row>
    <row r="119" customFormat="false" ht="39.75" hidden="false" customHeight="true" outlineLevel="0" collapsed="false">
      <c r="A119" s="24" t="s">
        <v>407</v>
      </c>
      <c r="B119" s="24" t="s">
        <v>216</v>
      </c>
      <c r="C119" s="24" t="s">
        <v>408</v>
      </c>
      <c r="D119" s="24" t="s">
        <v>191</v>
      </c>
      <c r="E119" s="31" t="s">
        <v>192</v>
      </c>
      <c r="F119" s="26" t="s">
        <v>418</v>
      </c>
      <c r="G119" s="26" t="s">
        <v>419</v>
      </c>
    </row>
    <row r="120" customFormat="false" ht="39.75" hidden="false" customHeight="true" outlineLevel="0" collapsed="false">
      <c r="A120" s="24" t="s">
        <v>407</v>
      </c>
      <c r="B120" s="24" t="s">
        <v>216</v>
      </c>
      <c r="C120" s="24" t="s">
        <v>408</v>
      </c>
      <c r="D120" s="24" t="s">
        <v>195</v>
      </c>
      <c r="E120" s="29" t="s">
        <v>196</v>
      </c>
      <c r="F120" s="26" t="s">
        <v>732</v>
      </c>
      <c r="G120" s="26" t="s">
        <v>733</v>
      </c>
    </row>
    <row r="121" customFormat="false" ht="39.75" hidden="false" customHeight="true" outlineLevel="0" collapsed="false">
      <c r="A121" s="24" t="s">
        <v>420</v>
      </c>
      <c r="B121" s="24" t="s">
        <v>232</v>
      </c>
      <c r="C121" s="24" t="s">
        <v>421</v>
      </c>
      <c r="D121" s="24" t="s">
        <v>171</v>
      </c>
      <c r="E121" s="25" t="s">
        <v>172</v>
      </c>
      <c r="F121" s="26" t="s">
        <v>776</v>
      </c>
      <c r="G121" s="26" t="s">
        <v>777</v>
      </c>
    </row>
    <row r="122" customFormat="false" ht="42" hidden="false" customHeight="true" outlineLevel="0" collapsed="false">
      <c r="A122" s="24" t="s">
        <v>420</v>
      </c>
      <c r="B122" s="24" t="s">
        <v>232</v>
      </c>
      <c r="C122" s="24" t="s">
        <v>421</v>
      </c>
      <c r="D122" s="24" t="s">
        <v>175</v>
      </c>
      <c r="E122" s="27" t="s">
        <v>176</v>
      </c>
      <c r="F122" s="26" t="s">
        <v>424</v>
      </c>
      <c r="G122" s="26" t="s">
        <v>425</v>
      </c>
    </row>
    <row r="123" customFormat="false" ht="39.75" hidden="false" customHeight="true" outlineLevel="0" collapsed="false">
      <c r="A123" s="24" t="s">
        <v>420</v>
      </c>
      <c r="B123" s="24" t="s">
        <v>232</v>
      </c>
      <c r="C123" s="24" t="s">
        <v>421</v>
      </c>
      <c r="D123" s="24" t="s">
        <v>179</v>
      </c>
      <c r="E123" s="28" t="s">
        <v>180</v>
      </c>
      <c r="F123" s="26" t="s">
        <v>426</v>
      </c>
      <c r="G123" s="26" t="s">
        <v>427</v>
      </c>
    </row>
    <row r="124" customFormat="false" ht="39.75" hidden="false" customHeight="true" outlineLevel="0" collapsed="false">
      <c r="A124" s="24" t="s">
        <v>420</v>
      </c>
      <c r="B124" s="24" t="s">
        <v>232</v>
      </c>
      <c r="C124" s="24" t="s">
        <v>421</v>
      </c>
      <c r="D124" s="24" t="s">
        <v>183</v>
      </c>
      <c r="E124" s="29" t="s">
        <v>184</v>
      </c>
      <c r="F124" s="26" t="s">
        <v>736</v>
      </c>
      <c r="G124" s="26" t="s">
        <v>737</v>
      </c>
    </row>
    <row r="125" customFormat="false" ht="111.75" hidden="false" customHeight="true" outlineLevel="0" collapsed="false">
      <c r="A125" s="24" t="s">
        <v>420</v>
      </c>
      <c r="B125" s="24" t="s">
        <v>232</v>
      </c>
      <c r="C125" s="24" t="s">
        <v>421</v>
      </c>
      <c r="D125" s="24" t="s">
        <v>187</v>
      </c>
      <c r="E125" s="30" t="s">
        <v>188</v>
      </c>
      <c r="F125" s="26" t="s">
        <v>189</v>
      </c>
      <c r="G125" s="26" t="s">
        <v>778</v>
      </c>
    </row>
    <row r="126" customFormat="false" ht="39.75" hidden="false" customHeight="true" outlineLevel="0" collapsed="false">
      <c r="A126" s="24" t="s">
        <v>420</v>
      </c>
      <c r="B126" s="24" t="s">
        <v>232</v>
      </c>
      <c r="C126" s="24" t="s">
        <v>421</v>
      </c>
      <c r="D126" s="24" t="s">
        <v>191</v>
      </c>
      <c r="E126" s="31" t="s">
        <v>192</v>
      </c>
      <c r="F126" s="26" t="s">
        <v>429</v>
      </c>
      <c r="G126" s="26" t="s">
        <v>430</v>
      </c>
    </row>
    <row r="127" customFormat="false" ht="39.75" hidden="false" customHeight="true" outlineLevel="0" collapsed="false">
      <c r="A127" s="24" t="s">
        <v>420</v>
      </c>
      <c r="B127" s="24" t="s">
        <v>232</v>
      </c>
      <c r="C127" s="24" t="s">
        <v>421</v>
      </c>
      <c r="D127" s="24" t="s">
        <v>195</v>
      </c>
      <c r="E127" s="29" t="s">
        <v>196</v>
      </c>
      <c r="F127" s="26" t="s">
        <v>739</v>
      </c>
      <c r="G127" s="26" t="s">
        <v>740</v>
      </c>
    </row>
    <row r="128" customFormat="false" ht="39.75" hidden="false" customHeight="true" outlineLevel="0" collapsed="false">
      <c r="A128" s="24" t="s">
        <v>431</v>
      </c>
      <c r="B128" s="24" t="s">
        <v>248</v>
      </c>
      <c r="C128" s="24" t="s">
        <v>432</v>
      </c>
      <c r="D128" s="24" t="s">
        <v>171</v>
      </c>
      <c r="E128" s="25" t="s">
        <v>172</v>
      </c>
      <c r="F128" s="26" t="s">
        <v>779</v>
      </c>
      <c r="G128" s="26" t="s">
        <v>780</v>
      </c>
    </row>
    <row r="129" customFormat="false" ht="55.5" hidden="false" customHeight="true" outlineLevel="0" collapsed="false">
      <c r="A129" s="24" t="s">
        <v>431</v>
      </c>
      <c r="B129" s="24" t="s">
        <v>248</v>
      </c>
      <c r="C129" s="24" t="s">
        <v>432</v>
      </c>
      <c r="D129" s="24" t="s">
        <v>175</v>
      </c>
      <c r="E129" s="27" t="s">
        <v>176</v>
      </c>
      <c r="F129" s="26" t="s">
        <v>435</v>
      </c>
      <c r="G129" s="26" t="s">
        <v>436</v>
      </c>
    </row>
    <row r="130" customFormat="false" ht="39.75" hidden="false" customHeight="true" outlineLevel="0" collapsed="false">
      <c r="A130" s="24" t="s">
        <v>431</v>
      </c>
      <c r="B130" s="24" t="s">
        <v>248</v>
      </c>
      <c r="C130" s="24" t="s">
        <v>432</v>
      </c>
      <c r="D130" s="24" t="s">
        <v>179</v>
      </c>
      <c r="E130" s="28" t="s">
        <v>180</v>
      </c>
      <c r="F130" s="26" t="s">
        <v>437</v>
      </c>
      <c r="G130" s="26" t="s">
        <v>438</v>
      </c>
    </row>
    <row r="131" customFormat="false" ht="39.75" hidden="false" customHeight="true" outlineLevel="0" collapsed="false">
      <c r="A131" s="24" t="s">
        <v>431</v>
      </c>
      <c r="B131" s="24" t="s">
        <v>248</v>
      </c>
      <c r="C131" s="24" t="s">
        <v>432</v>
      </c>
      <c r="D131" s="24" t="s">
        <v>183</v>
      </c>
      <c r="E131" s="29" t="s">
        <v>184</v>
      </c>
      <c r="F131" s="26" t="s">
        <v>706</v>
      </c>
      <c r="G131" s="26" t="s">
        <v>707</v>
      </c>
    </row>
    <row r="132" customFormat="false" ht="111.75" hidden="false" customHeight="true" outlineLevel="0" collapsed="false">
      <c r="A132" s="24" t="s">
        <v>431</v>
      </c>
      <c r="B132" s="24" t="s">
        <v>248</v>
      </c>
      <c r="C132" s="24" t="s">
        <v>432</v>
      </c>
      <c r="D132" s="24" t="s">
        <v>187</v>
      </c>
      <c r="E132" s="30" t="s">
        <v>188</v>
      </c>
      <c r="F132" s="26" t="s">
        <v>189</v>
      </c>
      <c r="G132" s="26" t="s">
        <v>781</v>
      </c>
    </row>
    <row r="133" customFormat="false" ht="39.75" hidden="false" customHeight="true" outlineLevel="0" collapsed="false">
      <c r="A133" s="24" t="s">
        <v>431</v>
      </c>
      <c r="B133" s="24" t="s">
        <v>248</v>
      </c>
      <c r="C133" s="24" t="s">
        <v>432</v>
      </c>
      <c r="D133" s="24" t="s">
        <v>191</v>
      </c>
      <c r="E133" s="31" t="s">
        <v>192</v>
      </c>
      <c r="F133" s="26" t="s">
        <v>440</v>
      </c>
      <c r="G133" s="26" t="s">
        <v>441</v>
      </c>
    </row>
    <row r="134" customFormat="false" ht="39.75" hidden="false" customHeight="true" outlineLevel="0" collapsed="false">
      <c r="A134" s="24" t="s">
        <v>431</v>
      </c>
      <c r="B134" s="24" t="s">
        <v>248</v>
      </c>
      <c r="C134" s="24" t="s">
        <v>432</v>
      </c>
      <c r="D134" s="24" t="s">
        <v>195</v>
      </c>
      <c r="E134" s="29" t="s">
        <v>196</v>
      </c>
      <c r="F134" s="26" t="s">
        <v>718</v>
      </c>
      <c r="G134" s="26" t="s">
        <v>719</v>
      </c>
    </row>
    <row r="135" customFormat="false" ht="39.75" hidden="false" customHeight="true" outlineLevel="0" collapsed="false">
      <c r="A135" s="24" t="s">
        <v>442</v>
      </c>
      <c r="B135" s="24" t="s">
        <v>262</v>
      </c>
      <c r="C135" s="24" t="s">
        <v>443</v>
      </c>
      <c r="D135" s="24" t="s">
        <v>171</v>
      </c>
      <c r="E135" s="25" t="s">
        <v>172</v>
      </c>
      <c r="F135" s="26" t="s">
        <v>782</v>
      </c>
      <c r="G135" s="26" t="s">
        <v>783</v>
      </c>
    </row>
    <row r="136" customFormat="false" ht="55.5" hidden="false" customHeight="true" outlineLevel="0" collapsed="false">
      <c r="A136" s="24" t="s">
        <v>442</v>
      </c>
      <c r="B136" s="24" t="s">
        <v>262</v>
      </c>
      <c r="C136" s="24" t="s">
        <v>443</v>
      </c>
      <c r="D136" s="24" t="s">
        <v>175</v>
      </c>
      <c r="E136" s="27" t="s">
        <v>176</v>
      </c>
      <c r="F136" s="26" t="s">
        <v>446</v>
      </c>
      <c r="G136" s="26" t="s">
        <v>447</v>
      </c>
    </row>
    <row r="137" customFormat="false" ht="39.75" hidden="false" customHeight="true" outlineLevel="0" collapsed="false">
      <c r="A137" s="24" t="s">
        <v>442</v>
      </c>
      <c r="B137" s="24" t="s">
        <v>262</v>
      </c>
      <c r="C137" s="24" t="s">
        <v>443</v>
      </c>
      <c r="D137" s="24" t="s">
        <v>179</v>
      </c>
      <c r="E137" s="28" t="s">
        <v>180</v>
      </c>
      <c r="F137" s="26" t="s">
        <v>448</v>
      </c>
      <c r="G137" s="26" t="s">
        <v>449</v>
      </c>
    </row>
    <row r="138" customFormat="false" ht="39.75" hidden="false" customHeight="true" outlineLevel="0" collapsed="false">
      <c r="A138" s="24" t="s">
        <v>442</v>
      </c>
      <c r="B138" s="24" t="s">
        <v>262</v>
      </c>
      <c r="C138" s="24" t="s">
        <v>443</v>
      </c>
      <c r="D138" s="24" t="s">
        <v>183</v>
      </c>
      <c r="E138" s="29" t="s">
        <v>184</v>
      </c>
      <c r="F138" s="26" t="s">
        <v>763</v>
      </c>
      <c r="G138" s="26" t="s">
        <v>764</v>
      </c>
    </row>
    <row r="139" customFormat="false" ht="126" hidden="false" customHeight="true" outlineLevel="0" collapsed="false">
      <c r="A139" s="24" t="s">
        <v>442</v>
      </c>
      <c r="B139" s="24" t="s">
        <v>262</v>
      </c>
      <c r="C139" s="24" t="s">
        <v>443</v>
      </c>
      <c r="D139" s="24" t="s">
        <v>187</v>
      </c>
      <c r="E139" s="30" t="s">
        <v>188</v>
      </c>
      <c r="F139" s="26" t="s">
        <v>189</v>
      </c>
      <c r="G139" s="26" t="s">
        <v>784</v>
      </c>
    </row>
    <row r="140" customFormat="false" ht="39.75" hidden="false" customHeight="true" outlineLevel="0" collapsed="false">
      <c r="A140" s="24" t="s">
        <v>442</v>
      </c>
      <c r="B140" s="24" t="s">
        <v>262</v>
      </c>
      <c r="C140" s="24" t="s">
        <v>443</v>
      </c>
      <c r="D140" s="24" t="s">
        <v>191</v>
      </c>
      <c r="E140" s="31" t="s">
        <v>192</v>
      </c>
      <c r="F140" s="26" t="s">
        <v>451</v>
      </c>
      <c r="G140" s="26" t="s">
        <v>452</v>
      </c>
    </row>
    <row r="141" customFormat="false" ht="39.75" hidden="false" customHeight="true" outlineLevel="0" collapsed="false">
      <c r="A141" s="24" t="s">
        <v>442</v>
      </c>
      <c r="B141" s="24" t="s">
        <v>262</v>
      </c>
      <c r="C141" s="24" t="s">
        <v>443</v>
      </c>
      <c r="D141" s="24" t="s">
        <v>195</v>
      </c>
      <c r="E141" s="29" t="s">
        <v>196</v>
      </c>
      <c r="F141" s="26" t="s">
        <v>453</v>
      </c>
      <c r="G141" s="26" t="s">
        <v>454</v>
      </c>
    </row>
    <row r="142" customFormat="false" ht="39.75" hidden="false" customHeight="true" outlineLevel="0" collapsed="false">
      <c r="A142" s="33" t="s">
        <v>455</v>
      </c>
      <c r="B142" s="33" t="s">
        <v>278</v>
      </c>
      <c r="C142" s="33" t="s">
        <v>456</v>
      </c>
      <c r="D142" s="24" t="s">
        <v>171</v>
      </c>
      <c r="E142" s="25" t="s">
        <v>172</v>
      </c>
      <c r="F142" s="26" t="s">
        <v>457</v>
      </c>
      <c r="G142" s="26" t="s">
        <v>458</v>
      </c>
    </row>
    <row r="143" customFormat="false" ht="55.5" hidden="false" customHeight="true" outlineLevel="0" collapsed="false">
      <c r="A143" s="24" t="s">
        <v>455</v>
      </c>
      <c r="B143" s="24" t="s">
        <v>278</v>
      </c>
      <c r="C143" s="24" t="s">
        <v>456</v>
      </c>
      <c r="D143" s="24" t="s">
        <v>175</v>
      </c>
      <c r="E143" s="27" t="s">
        <v>176</v>
      </c>
      <c r="F143" s="26" t="s">
        <v>459</v>
      </c>
      <c r="G143" s="26" t="s">
        <v>460</v>
      </c>
    </row>
    <row r="144" customFormat="false" ht="39.75" hidden="false" customHeight="true" outlineLevel="0" collapsed="false">
      <c r="A144" s="24" t="s">
        <v>455</v>
      </c>
      <c r="B144" s="24" t="s">
        <v>278</v>
      </c>
      <c r="C144" s="24" t="s">
        <v>456</v>
      </c>
      <c r="D144" s="24" t="s">
        <v>179</v>
      </c>
      <c r="E144" s="28" t="s">
        <v>180</v>
      </c>
      <c r="F144" s="26" t="s">
        <v>461</v>
      </c>
      <c r="G144" s="26" t="s">
        <v>462</v>
      </c>
    </row>
    <row r="145" customFormat="false" ht="39.75" hidden="false" customHeight="true" outlineLevel="0" collapsed="false">
      <c r="A145" s="24" t="s">
        <v>455</v>
      </c>
      <c r="B145" s="24" t="s">
        <v>278</v>
      </c>
      <c r="C145" s="24" t="s">
        <v>456</v>
      </c>
      <c r="D145" s="24" t="s">
        <v>183</v>
      </c>
      <c r="E145" s="29" t="s">
        <v>184</v>
      </c>
      <c r="F145" s="26" t="s">
        <v>463</v>
      </c>
      <c r="G145" s="26" t="s">
        <v>464</v>
      </c>
    </row>
    <row r="146" customFormat="false" ht="139.5" hidden="false" customHeight="true" outlineLevel="0" collapsed="false">
      <c r="A146" s="24" t="s">
        <v>455</v>
      </c>
      <c r="B146" s="24" t="s">
        <v>278</v>
      </c>
      <c r="C146" s="24" t="s">
        <v>456</v>
      </c>
      <c r="D146" s="24" t="s">
        <v>187</v>
      </c>
      <c r="E146" s="30" t="s">
        <v>188</v>
      </c>
      <c r="F146" s="26" t="s">
        <v>189</v>
      </c>
      <c r="G146" s="26" t="s">
        <v>465</v>
      </c>
    </row>
    <row r="147" customFormat="false" ht="39.75" hidden="false" customHeight="true" outlineLevel="0" collapsed="false">
      <c r="A147" s="24" t="s">
        <v>455</v>
      </c>
      <c r="B147" s="24" t="s">
        <v>278</v>
      </c>
      <c r="C147" s="24" t="s">
        <v>456</v>
      </c>
      <c r="D147" s="24" t="s">
        <v>191</v>
      </c>
      <c r="E147" s="31" t="s">
        <v>192</v>
      </c>
      <c r="F147" s="26" t="s">
        <v>466</v>
      </c>
      <c r="G147" s="26" t="s">
        <v>467</v>
      </c>
    </row>
    <row r="148" customFormat="false" ht="39.75" hidden="false" customHeight="true" outlineLevel="0" collapsed="false">
      <c r="A148" s="24" t="s">
        <v>455</v>
      </c>
      <c r="B148" s="24" t="s">
        <v>278</v>
      </c>
      <c r="C148" s="24" t="s">
        <v>456</v>
      </c>
      <c r="D148" s="24" t="s">
        <v>195</v>
      </c>
      <c r="E148" s="29" t="s">
        <v>196</v>
      </c>
      <c r="F148" s="26" t="s">
        <v>468</v>
      </c>
      <c r="G148" s="26" t="s">
        <v>469</v>
      </c>
    </row>
    <row r="149" customFormat="false" ht="39.75" hidden="false" customHeight="true" outlineLevel="0" collapsed="false">
      <c r="A149" s="24" t="s">
        <v>470</v>
      </c>
      <c r="B149" s="24" t="s">
        <v>169</v>
      </c>
      <c r="C149" s="24" t="s">
        <v>471</v>
      </c>
      <c r="D149" s="24" t="s">
        <v>171</v>
      </c>
      <c r="E149" s="25" t="s">
        <v>172</v>
      </c>
      <c r="F149" s="26" t="s">
        <v>785</v>
      </c>
      <c r="G149" s="26" t="s">
        <v>786</v>
      </c>
    </row>
    <row r="150" customFormat="false" ht="55.5" hidden="false" customHeight="true" outlineLevel="0" collapsed="false">
      <c r="A150" s="24" t="s">
        <v>470</v>
      </c>
      <c r="B150" s="24" t="s">
        <v>169</v>
      </c>
      <c r="C150" s="24" t="s">
        <v>471</v>
      </c>
      <c r="D150" s="24" t="s">
        <v>175</v>
      </c>
      <c r="E150" s="27" t="s">
        <v>176</v>
      </c>
      <c r="F150" s="26" t="s">
        <v>474</v>
      </c>
      <c r="G150" s="26" t="s">
        <v>475</v>
      </c>
    </row>
    <row r="151" customFormat="false" ht="39.75" hidden="false" customHeight="true" outlineLevel="0" collapsed="false">
      <c r="A151" s="24" t="s">
        <v>470</v>
      </c>
      <c r="B151" s="24" t="s">
        <v>169</v>
      </c>
      <c r="C151" s="24" t="s">
        <v>471</v>
      </c>
      <c r="D151" s="24" t="s">
        <v>179</v>
      </c>
      <c r="E151" s="28" t="s">
        <v>180</v>
      </c>
      <c r="F151" s="26" t="s">
        <v>476</v>
      </c>
      <c r="G151" s="26" t="s">
        <v>477</v>
      </c>
    </row>
    <row r="152" customFormat="false" ht="39.75" hidden="false" customHeight="true" outlineLevel="0" collapsed="false">
      <c r="A152" s="24" t="s">
        <v>470</v>
      </c>
      <c r="B152" s="24" t="s">
        <v>169</v>
      </c>
      <c r="C152" s="24" t="s">
        <v>471</v>
      </c>
      <c r="D152" s="24" t="s">
        <v>183</v>
      </c>
      <c r="E152" s="29" t="s">
        <v>184</v>
      </c>
      <c r="F152" s="26" t="s">
        <v>722</v>
      </c>
      <c r="G152" s="26" t="s">
        <v>723</v>
      </c>
    </row>
    <row r="153" customFormat="false" ht="111.75" hidden="false" customHeight="true" outlineLevel="0" collapsed="false">
      <c r="A153" s="24" t="s">
        <v>470</v>
      </c>
      <c r="B153" s="24" t="s">
        <v>169</v>
      </c>
      <c r="C153" s="24" t="s">
        <v>471</v>
      </c>
      <c r="D153" s="24" t="s">
        <v>187</v>
      </c>
      <c r="E153" s="30" t="s">
        <v>188</v>
      </c>
      <c r="F153" s="26" t="s">
        <v>189</v>
      </c>
      <c r="G153" s="26" t="s">
        <v>787</v>
      </c>
    </row>
    <row r="154" customFormat="false" ht="39.75" hidden="false" customHeight="true" outlineLevel="0" collapsed="false">
      <c r="A154" s="24" t="s">
        <v>470</v>
      </c>
      <c r="B154" s="24" t="s">
        <v>169</v>
      </c>
      <c r="C154" s="24" t="s">
        <v>471</v>
      </c>
      <c r="D154" s="24" t="s">
        <v>191</v>
      </c>
      <c r="E154" s="31" t="s">
        <v>192</v>
      </c>
      <c r="F154" s="26" t="s">
        <v>479</v>
      </c>
      <c r="G154" s="26" t="s">
        <v>480</v>
      </c>
    </row>
    <row r="155" customFormat="false" ht="39.75" hidden="false" customHeight="true" outlineLevel="0" collapsed="false">
      <c r="A155" s="24" t="s">
        <v>470</v>
      </c>
      <c r="B155" s="24" t="s">
        <v>169</v>
      </c>
      <c r="C155" s="24" t="s">
        <v>471</v>
      </c>
      <c r="D155" s="24" t="s">
        <v>195</v>
      </c>
      <c r="E155" s="29" t="s">
        <v>196</v>
      </c>
      <c r="F155" s="26" t="s">
        <v>739</v>
      </c>
      <c r="G155" s="26" t="s">
        <v>740</v>
      </c>
    </row>
    <row r="156" customFormat="false" ht="39.75" hidden="false" customHeight="true" outlineLevel="0" collapsed="false">
      <c r="A156" s="24" t="s">
        <v>481</v>
      </c>
      <c r="B156" s="24" t="s">
        <v>200</v>
      </c>
      <c r="C156" s="24" t="s">
        <v>482</v>
      </c>
      <c r="D156" s="24" t="s">
        <v>171</v>
      </c>
      <c r="E156" s="25" t="s">
        <v>172</v>
      </c>
      <c r="F156" s="26" t="s">
        <v>788</v>
      </c>
      <c r="G156" s="26" t="s">
        <v>789</v>
      </c>
    </row>
    <row r="157" customFormat="false" ht="42" hidden="false" customHeight="true" outlineLevel="0" collapsed="false">
      <c r="A157" s="24" t="s">
        <v>481</v>
      </c>
      <c r="B157" s="24" t="s">
        <v>200</v>
      </c>
      <c r="C157" s="24" t="s">
        <v>482</v>
      </c>
      <c r="D157" s="24" t="s">
        <v>175</v>
      </c>
      <c r="E157" s="27" t="s">
        <v>176</v>
      </c>
      <c r="F157" s="26" t="s">
        <v>485</v>
      </c>
      <c r="G157" s="26" t="s">
        <v>486</v>
      </c>
    </row>
    <row r="158" customFormat="false" ht="39.75" hidden="false" customHeight="true" outlineLevel="0" collapsed="false">
      <c r="A158" s="24" t="s">
        <v>481</v>
      </c>
      <c r="B158" s="24" t="s">
        <v>200</v>
      </c>
      <c r="C158" s="24" t="s">
        <v>482</v>
      </c>
      <c r="D158" s="24" t="s">
        <v>179</v>
      </c>
      <c r="E158" s="28" t="s">
        <v>180</v>
      </c>
      <c r="F158" s="26" t="s">
        <v>487</v>
      </c>
      <c r="G158" s="26" t="s">
        <v>488</v>
      </c>
    </row>
    <row r="159" customFormat="false" ht="39.75" hidden="false" customHeight="true" outlineLevel="0" collapsed="false">
      <c r="A159" s="24" t="s">
        <v>481</v>
      </c>
      <c r="B159" s="24" t="s">
        <v>200</v>
      </c>
      <c r="C159" s="24" t="s">
        <v>482</v>
      </c>
      <c r="D159" s="24" t="s">
        <v>183</v>
      </c>
      <c r="E159" s="29" t="s">
        <v>184</v>
      </c>
      <c r="F159" s="26" t="s">
        <v>729</v>
      </c>
      <c r="G159" s="26" t="s">
        <v>730</v>
      </c>
    </row>
    <row r="160" customFormat="false" ht="111.75" hidden="false" customHeight="true" outlineLevel="0" collapsed="false">
      <c r="A160" s="24" t="s">
        <v>481</v>
      </c>
      <c r="B160" s="24" t="s">
        <v>200</v>
      </c>
      <c r="C160" s="24" t="s">
        <v>482</v>
      </c>
      <c r="D160" s="24" t="s">
        <v>187</v>
      </c>
      <c r="E160" s="30" t="s">
        <v>188</v>
      </c>
      <c r="F160" s="26" t="s">
        <v>189</v>
      </c>
      <c r="G160" s="26" t="s">
        <v>790</v>
      </c>
    </row>
    <row r="161" customFormat="false" ht="39.75" hidden="false" customHeight="true" outlineLevel="0" collapsed="false">
      <c r="A161" s="24" t="s">
        <v>481</v>
      </c>
      <c r="B161" s="24" t="s">
        <v>200</v>
      </c>
      <c r="C161" s="24" t="s">
        <v>482</v>
      </c>
      <c r="D161" s="24" t="s">
        <v>191</v>
      </c>
      <c r="E161" s="31" t="s">
        <v>192</v>
      </c>
      <c r="F161" s="26" t="s">
        <v>490</v>
      </c>
      <c r="G161" s="26" t="s">
        <v>491</v>
      </c>
    </row>
    <row r="162" customFormat="false" ht="39.75" hidden="false" customHeight="true" outlineLevel="0" collapsed="false">
      <c r="A162" s="24" t="s">
        <v>481</v>
      </c>
      <c r="B162" s="24" t="s">
        <v>200</v>
      </c>
      <c r="C162" s="24" t="s">
        <v>482</v>
      </c>
      <c r="D162" s="24" t="s">
        <v>195</v>
      </c>
      <c r="E162" s="29" t="s">
        <v>196</v>
      </c>
      <c r="F162" s="26" t="s">
        <v>718</v>
      </c>
      <c r="G162" s="26" t="s">
        <v>719</v>
      </c>
    </row>
    <row r="163" customFormat="false" ht="39.75" hidden="false" customHeight="true" outlineLevel="0" collapsed="false">
      <c r="A163" s="24" t="s">
        <v>492</v>
      </c>
      <c r="B163" s="24" t="s">
        <v>216</v>
      </c>
      <c r="C163" s="24" t="s">
        <v>493</v>
      </c>
      <c r="D163" s="24" t="s">
        <v>171</v>
      </c>
      <c r="E163" s="25" t="s">
        <v>172</v>
      </c>
      <c r="F163" s="26" t="s">
        <v>791</v>
      </c>
      <c r="G163" s="26" t="s">
        <v>792</v>
      </c>
    </row>
    <row r="164" customFormat="false" ht="55.5" hidden="false" customHeight="true" outlineLevel="0" collapsed="false">
      <c r="A164" s="24" t="s">
        <v>492</v>
      </c>
      <c r="B164" s="24" t="s">
        <v>216</v>
      </c>
      <c r="C164" s="24" t="s">
        <v>493</v>
      </c>
      <c r="D164" s="24" t="s">
        <v>175</v>
      </c>
      <c r="E164" s="27" t="s">
        <v>176</v>
      </c>
      <c r="F164" s="26" t="s">
        <v>496</v>
      </c>
      <c r="G164" s="26" t="s">
        <v>497</v>
      </c>
    </row>
    <row r="165" customFormat="false" ht="39.75" hidden="false" customHeight="true" outlineLevel="0" collapsed="false">
      <c r="A165" s="24" t="s">
        <v>492</v>
      </c>
      <c r="B165" s="24" t="s">
        <v>216</v>
      </c>
      <c r="C165" s="24" t="s">
        <v>493</v>
      </c>
      <c r="D165" s="24" t="s">
        <v>179</v>
      </c>
      <c r="E165" s="28" t="s">
        <v>180</v>
      </c>
      <c r="F165" s="26" t="s">
        <v>498</v>
      </c>
      <c r="G165" s="26" t="s">
        <v>499</v>
      </c>
    </row>
    <row r="166" customFormat="false" ht="39.75" hidden="false" customHeight="true" outlineLevel="0" collapsed="false">
      <c r="A166" s="24" t="s">
        <v>492</v>
      </c>
      <c r="B166" s="24" t="s">
        <v>216</v>
      </c>
      <c r="C166" s="24" t="s">
        <v>493</v>
      </c>
      <c r="D166" s="24" t="s">
        <v>183</v>
      </c>
      <c r="E166" s="29" t="s">
        <v>184</v>
      </c>
      <c r="F166" s="26" t="s">
        <v>500</v>
      </c>
      <c r="G166" s="26" t="s">
        <v>501</v>
      </c>
    </row>
    <row r="167" customFormat="false" ht="111.75" hidden="false" customHeight="true" outlineLevel="0" collapsed="false">
      <c r="A167" s="24" t="s">
        <v>492</v>
      </c>
      <c r="B167" s="24" t="s">
        <v>216</v>
      </c>
      <c r="C167" s="24" t="s">
        <v>493</v>
      </c>
      <c r="D167" s="24" t="s">
        <v>187</v>
      </c>
      <c r="E167" s="30" t="s">
        <v>188</v>
      </c>
      <c r="F167" s="26" t="s">
        <v>189</v>
      </c>
      <c r="G167" s="26" t="s">
        <v>793</v>
      </c>
    </row>
    <row r="168" customFormat="false" ht="39.75" hidden="false" customHeight="true" outlineLevel="0" collapsed="false">
      <c r="A168" s="24" t="s">
        <v>492</v>
      </c>
      <c r="B168" s="24" t="s">
        <v>216</v>
      </c>
      <c r="C168" s="24" t="s">
        <v>493</v>
      </c>
      <c r="D168" s="24" t="s">
        <v>191</v>
      </c>
      <c r="E168" s="31" t="s">
        <v>192</v>
      </c>
      <c r="F168" s="26" t="s">
        <v>503</v>
      </c>
      <c r="G168" s="26" t="s">
        <v>504</v>
      </c>
    </row>
    <row r="169" customFormat="false" ht="39.75" hidden="false" customHeight="true" outlineLevel="0" collapsed="false">
      <c r="A169" s="24" t="s">
        <v>492</v>
      </c>
      <c r="B169" s="24" t="s">
        <v>216</v>
      </c>
      <c r="C169" s="24" t="s">
        <v>493</v>
      </c>
      <c r="D169" s="24" t="s">
        <v>195</v>
      </c>
      <c r="E169" s="29" t="s">
        <v>196</v>
      </c>
      <c r="F169" s="26" t="s">
        <v>725</v>
      </c>
      <c r="G169" s="26" t="s">
        <v>726</v>
      </c>
    </row>
    <row r="170" customFormat="false" ht="39.75" hidden="false" customHeight="true" outlineLevel="0" collapsed="false">
      <c r="A170" s="32" t="s">
        <v>505</v>
      </c>
      <c r="B170" s="32" t="s">
        <v>232</v>
      </c>
      <c r="C170" s="32" t="s">
        <v>506</v>
      </c>
      <c r="D170" s="24" t="s">
        <v>171</v>
      </c>
      <c r="E170" s="25" t="s">
        <v>172</v>
      </c>
      <c r="F170" s="26" t="s">
        <v>794</v>
      </c>
      <c r="G170" s="26" t="s">
        <v>795</v>
      </c>
    </row>
    <row r="171" customFormat="false" ht="42" hidden="false" customHeight="true" outlineLevel="0" collapsed="false">
      <c r="A171" s="24" t="s">
        <v>505</v>
      </c>
      <c r="B171" s="24" t="s">
        <v>232</v>
      </c>
      <c r="C171" s="24" t="s">
        <v>506</v>
      </c>
      <c r="D171" s="24" t="s">
        <v>175</v>
      </c>
      <c r="E171" s="27" t="s">
        <v>176</v>
      </c>
      <c r="F171" s="26" t="s">
        <v>509</v>
      </c>
      <c r="G171" s="26" t="s">
        <v>510</v>
      </c>
    </row>
    <row r="172" customFormat="false" ht="39.75" hidden="false" customHeight="true" outlineLevel="0" collapsed="false">
      <c r="A172" s="24" t="s">
        <v>505</v>
      </c>
      <c r="B172" s="24" t="s">
        <v>232</v>
      </c>
      <c r="C172" s="24" t="s">
        <v>506</v>
      </c>
      <c r="D172" s="24" t="s">
        <v>179</v>
      </c>
      <c r="E172" s="28" t="s">
        <v>180</v>
      </c>
      <c r="F172" s="26" t="s">
        <v>511</v>
      </c>
      <c r="G172" s="26" t="s">
        <v>512</v>
      </c>
    </row>
    <row r="173" customFormat="false" ht="39.75" hidden="false" customHeight="true" outlineLevel="0" collapsed="false">
      <c r="A173" s="24" t="s">
        <v>505</v>
      </c>
      <c r="B173" s="24" t="s">
        <v>232</v>
      </c>
      <c r="C173" s="24" t="s">
        <v>506</v>
      </c>
      <c r="D173" s="24" t="s">
        <v>183</v>
      </c>
      <c r="E173" s="29" t="s">
        <v>184</v>
      </c>
      <c r="F173" s="26" t="s">
        <v>513</v>
      </c>
      <c r="G173" s="26" t="s">
        <v>514</v>
      </c>
    </row>
    <row r="174" customFormat="false" ht="111.75" hidden="false" customHeight="true" outlineLevel="0" collapsed="false">
      <c r="A174" s="24" t="s">
        <v>505</v>
      </c>
      <c r="B174" s="24" t="s">
        <v>232</v>
      </c>
      <c r="C174" s="24" t="s">
        <v>506</v>
      </c>
      <c r="D174" s="24" t="s">
        <v>187</v>
      </c>
      <c r="E174" s="30" t="s">
        <v>188</v>
      </c>
      <c r="F174" s="26" t="s">
        <v>189</v>
      </c>
      <c r="G174" s="26" t="s">
        <v>796</v>
      </c>
    </row>
    <row r="175" customFormat="false" ht="39.75" hidden="false" customHeight="true" outlineLevel="0" collapsed="false">
      <c r="A175" s="24" t="s">
        <v>505</v>
      </c>
      <c r="B175" s="24" t="s">
        <v>232</v>
      </c>
      <c r="C175" s="24" t="s">
        <v>506</v>
      </c>
      <c r="D175" s="24" t="s">
        <v>191</v>
      </c>
      <c r="E175" s="31" t="s">
        <v>192</v>
      </c>
      <c r="F175" s="26" t="s">
        <v>516</v>
      </c>
      <c r="G175" s="26" t="s">
        <v>517</v>
      </c>
    </row>
    <row r="176" customFormat="false" ht="39.75" hidden="false" customHeight="true" outlineLevel="0" collapsed="false">
      <c r="A176" s="24" t="s">
        <v>505</v>
      </c>
      <c r="B176" s="24" t="s">
        <v>232</v>
      </c>
      <c r="C176" s="24" t="s">
        <v>506</v>
      </c>
      <c r="D176" s="24" t="s">
        <v>195</v>
      </c>
      <c r="E176" s="29" t="s">
        <v>196</v>
      </c>
      <c r="F176" s="26" t="s">
        <v>797</v>
      </c>
      <c r="G176" s="26" t="s">
        <v>710</v>
      </c>
    </row>
    <row r="177" customFormat="false" ht="39.75" hidden="false" customHeight="true" outlineLevel="0" collapsed="false">
      <c r="A177" s="24" t="s">
        <v>520</v>
      </c>
      <c r="B177" s="24" t="s">
        <v>248</v>
      </c>
      <c r="C177" s="24" t="s">
        <v>521</v>
      </c>
      <c r="D177" s="24" t="s">
        <v>171</v>
      </c>
      <c r="E177" s="25" t="s">
        <v>172</v>
      </c>
      <c r="F177" s="26" t="s">
        <v>798</v>
      </c>
      <c r="G177" s="26" t="s">
        <v>799</v>
      </c>
    </row>
    <row r="178" customFormat="false" ht="55.5" hidden="false" customHeight="true" outlineLevel="0" collapsed="false">
      <c r="A178" s="24" t="s">
        <v>520</v>
      </c>
      <c r="B178" s="24" t="s">
        <v>248</v>
      </c>
      <c r="C178" s="24" t="s">
        <v>521</v>
      </c>
      <c r="D178" s="24" t="s">
        <v>175</v>
      </c>
      <c r="E178" s="27" t="s">
        <v>176</v>
      </c>
      <c r="F178" s="26" t="s">
        <v>524</v>
      </c>
      <c r="G178" s="26" t="s">
        <v>525</v>
      </c>
    </row>
    <row r="179" customFormat="false" ht="39.75" hidden="false" customHeight="true" outlineLevel="0" collapsed="false">
      <c r="A179" s="24" t="s">
        <v>520</v>
      </c>
      <c r="B179" s="24" t="s">
        <v>248</v>
      </c>
      <c r="C179" s="24" t="s">
        <v>521</v>
      </c>
      <c r="D179" s="24" t="s">
        <v>179</v>
      </c>
      <c r="E179" s="28" t="s">
        <v>180</v>
      </c>
      <c r="F179" s="26" t="s">
        <v>526</v>
      </c>
      <c r="G179" s="26" t="s">
        <v>527</v>
      </c>
    </row>
    <row r="180" customFormat="false" ht="39.75" hidden="false" customHeight="true" outlineLevel="0" collapsed="false">
      <c r="A180" s="24" t="s">
        <v>520</v>
      </c>
      <c r="B180" s="24" t="s">
        <v>248</v>
      </c>
      <c r="C180" s="24" t="s">
        <v>521</v>
      </c>
      <c r="D180" s="24" t="s">
        <v>183</v>
      </c>
      <c r="E180" s="29" t="s">
        <v>184</v>
      </c>
      <c r="F180" s="26" t="s">
        <v>763</v>
      </c>
      <c r="G180" s="26" t="s">
        <v>764</v>
      </c>
    </row>
    <row r="181" customFormat="false" ht="126" hidden="false" customHeight="true" outlineLevel="0" collapsed="false">
      <c r="A181" s="24" t="s">
        <v>520</v>
      </c>
      <c r="B181" s="24" t="s">
        <v>248</v>
      </c>
      <c r="C181" s="24" t="s">
        <v>521</v>
      </c>
      <c r="D181" s="24" t="s">
        <v>187</v>
      </c>
      <c r="E181" s="30" t="s">
        <v>188</v>
      </c>
      <c r="F181" s="26" t="s">
        <v>189</v>
      </c>
      <c r="G181" s="26" t="s">
        <v>800</v>
      </c>
    </row>
    <row r="182" customFormat="false" ht="39.75" hidden="false" customHeight="true" outlineLevel="0" collapsed="false">
      <c r="A182" s="24" t="s">
        <v>520</v>
      </c>
      <c r="B182" s="24" t="s">
        <v>248</v>
      </c>
      <c r="C182" s="24" t="s">
        <v>521</v>
      </c>
      <c r="D182" s="24" t="s">
        <v>191</v>
      </c>
      <c r="E182" s="31" t="s">
        <v>192</v>
      </c>
      <c r="F182" s="26" t="s">
        <v>529</v>
      </c>
      <c r="G182" s="26" t="s">
        <v>530</v>
      </c>
    </row>
    <row r="183" customFormat="false" ht="39.75" hidden="false" customHeight="true" outlineLevel="0" collapsed="false">
      <c r="A183" s="24" t="s">
        <v>520</v>
      </c>
      <c r="B183" s="24" t="s">
        <v>248</v>
      </c>
      <c r="C183" s="24" t="s">
        <v>521</v>
      </c>
      <c r="D183" s="24" t="s">
        <v>195</v>
      </c>
      <c r="E183" s="29" t="s">
        <v>196</v>
      </c>
      <c r="F183" s="26" t="s">
        <v>739</v>
      </c>
      <c r="G183" s="26" t="s">
        <v>740</v>
      </c>
    </row>
    <row r="184" customFormat="false" ht="39.75" hidden="false" customHeight="true" outlineLevel="0" collapsed="false">
      <c r="A184" s="24" t="s">
        <v>531</v>
      </c>
      <c r="B184" s="24" t="s">
        <v>262</v>
      </c>
      <c r="C184" s="24" t="s">
        <v>532</v>
      </c>
      <c r="D184" s="24" t="s">
        <v>171</v>
      </c>
      <c r="E184" s="25" t="s">
        <v>172</v>
      </c>
      <c r="F184" s="26" t="s">
        <v>801</v>
      </c>
      <c r="G184" s="26" t="s">
        <v>802</v>
      </c>
    </row>
    <row r="185" customFormat="false" ht="42" hidden="false" customHeight="true" outlineLevel="0" collapsed="false">
      <c r="A185" s="24" t="s">
        <v>531</v>
      </c>
      <c r="B185" s="24" t="s">
        <v>262</v>
      </c>
      <c r="C185" s="24" t="s">
        <v>532</v>
      </c>
      <c r="D185" s="24" t="s">
        <v>175</v>
      </c>
      <c r="E185" s="27" t="s">
        <v>176</v>
      </c>
      <c r="F185" s="26" t="s">
        <v>535</v>
      </c>
      <c r="G185" s="26" t="s">
        <v>536</v>
      </c>
    </row>
    <row r="186" customFormat="false" ht="39.75" hidden="false" customHeight="true" outlineLevel="0" collapsed="false">
      <c r="A186" s="24" t="s">
        <v>531</v>
      </c>
      <c r="B186" s="24" t="s">
        <v>262</v>
      </c>
      <c r="C186" s="24" t="s">
        <v>532</v>
      </c>
      <c r="D186" s="24" t="s">
        <v>179</v>
      </c>
      <c r="E186" s="28" t="s">
        <v>180</v>
      </c>
      <c r="F186" s="26" t="s">
        <v>537</v>
      </c>
      <c r="G186" s="26" t="s">
        <v>538</v>
      </c>
    </row>
    <row r="187" customFormat="false" ht="39.75" hidden="false" customHeight="true" outlineLevel="0" collapsed="false">
      <c r="A187" s="24" t="s">
        <v>531</v>
      </c>
      <c r="B187" s="24" t="s">
        <v>262</v>
      </c>
      <c r="C187" s="24" t="s">
        <v>532</v>
      </c>
      <c r="D187" s="24" t="s">
        <v>183</v>
      </c>
      <c r="E187" s="29" t="s">
        <v>184</v>
      </c>
      <c r="F187" s="26" t="s">
        <v>750</v>
      </c>
      <c r="G187" s="26" t="s">
        <v>751</v>
      </c>
    </row>
    <row r="188" customFormat="false" ht="111.75" hidden="false" customHeight="true" outlineLevel="0" collapsed="false">
      <c r="A188" s="24" t="s">
        <v>531</v>
      </c>
      <c r="B188" s="24" t="s">
        <v>262</v>
      </c>
      <c r="C188" s="24" t="s">
        <v>532</v>
      </c>
      <c r="D188" s="24" t="s">
        <v>187</v>
      </c>
      <c r="E188" s="30" t="s">
        <v>188</v>
      </c>
      <c r="F188" s="26" t="s">
        <v>189</v>
      </c>
      <c r="G188" s="26" t="s">
        <v>803</v>
      </c>
    </row>
    <row r="189" customFormat="false" ht="39.75" hidden="false" customHeight="true" outlineLevel="0" collapsed="false">
      <c r="A189" s="24" t="s">
        <v>531</v>
      </c>
      <c r="B189" s="24" t="s">
        <v>262</v>
      </c>
      <c r="C189" s="24" t="s">
        <v>532</v>
      </c>
      <c r="D189" s="24" t="s">
        <v>191</v>
      </c>
      <c r="E189" s="31" t="s">
        <v>192</v>
      </c>
      <c r="F189" s="26" t="s">
        <v>540</v>
      </c>
      <c r="G189" s="26" t="s">
        <v>541</v>
      </c>
    </row>
    <row r="190" customFormat="false" ht="39.75" hidden="false" customHeight="true" outlineLevel="0" collapsed="false">
      <c r="A190" s="24" t="s">
        <v>531</v>
      </c>
      <c r="B190" s="24" t="s">
        <v>262</v>
      </c>
      <c r="C190" s="24" t="s">
        <v>532</v>
      </c>
      <c r="D190" s="24" t="s">
        <v>195</v>
      </c>
      <c r="E190" s="29" t="s">
        <v>196</v>
      </c>
      <c r="F190" s="26" t="s">
        <v>718</v>
      </c>
      <c r="G190" s="26" t="s">
        <v>719</v>
      </c>
    </row>
    <row r="191" customFormat="false" ht="39.75" hidden="false" customHeight="true" outlineLevel="0" collapsed="false">
      <c r="A191" s="24" t="s">
        <v>542</v>
      </c>
      <c r="B191" s="24" t="s">
        <v>278</v>
      </c>
      <c r="C191" s="24" t="s">
        <v>543</v>
      </c>
      <c r="D191" s="24" t="s">
        <v>171</v>
      </c>
      <c r="E191" s="25" t="s">
        <v>172</v>
      </c>
      <c r="F191" s="26" t="s">
        <v>804</v>
      </c>
      <c r="G191" s="26" t="s">
        <v>805</v>
      </c>
    </row>
    <row r="192" customFormat="false" ht="55.5" hidden="false" customHeight="true" outlineLevel="0" collapsed="false">
      <c r="A192" s="24" t="s">
        <v>542</v>
      </c>
      <c r="B192" s="24" t="s">
        <v>278</v>
      </c>
      <c r="C192" s="24" t="s">
        <v>543</v>
      </c>
      <c r="D192" s="24" t="s">
        <v>175</v>
      </c>
      <c r="E192" s="27" t="s">
        <v>176</v>
      </c>
      <c r="F192" s="26" t="s">
        <v>546</v>
      </c>
      <c r="G192" s="26" t="s">
        <v>547</v>
      </c>
    </row>
    <row r="193" customFormat="false" ht="39.75" hidden="false" customHeight="true" outlineLevel="0" collapsed="false">
      <c r="A193" s="24" t="s">
        <v>542</v>
      </c>
      <c r="B193" s="24" t="s">
        <v>278</v>
      </c>
      <c r="C193" s="24" t="s">
        <v>543</v>
      </c>
      <c r="D193" s="24" t="s">
        <v>179</v>
      </c>
      <c r="E193" s="28" t="s">
        <v>180</v>
      </c>
      <c r="F193" s="26" t="s">
        <v>548</v>
      </c>
      <c r="G193" s="26" t="s">
        <v>549</v>
      </c>
    </row>
    <row r="194" customFormat="false" ht="39.75" hidden="false" customHeight="true" outlineLevel="0" collapsed="false">
      <c r="A194" s="24" t="s">
        <v>542</v>
      </c>
      <c r="B194" s="24" t="s">
        <v>278</v>
      </c>
      <c r="C194" s="24" t="s">
        <v>543</v>
      </c>
      <c r="D194" s="24" t="s">
        <v>183</v>
      </c>
      <c r="E194" s="29" t="s">
        <v>184</v>
      </c>
      <c r="F194" s="26" t="s">
        <v>722</v>
      </c>
      <c r="G194" s="26" t="s">
        <v>723</v>
      </c>
    </row>
    <row r="195" customFormat="false" ht="126" hidden="false" customHeight="true" outlineLevel="0" collapsed="false">
      <c r="A195" s="24" t="s">
        <v>542</v>
      </c>
      <c r="B195" s="24" t="s">
        <v>278</v>
      </c>
      <c r="C195" s="24" t="s">
        <v>543</v>
      </c>
      <c r="D195" s="24" t="s">
        <v>187</v>
      </c>
      <c r="E195" s="30" t="s">
        <v>188</v>
      </c>
      <c r="F195" s="26" t="s">
        <v>189</v>
      </c>
      <c r="G195" s="26" t="s">
        <v>806</v>
      </c>
    </row>
    <row r="196" customFormat="false" ht="39.75" hidden="false" customHeight="true" outlineLevel="0" collapsed="false">
      <c r="A196" s="24" t="s">
        <v>542</v>
      </c>
      <c r="B196" s="24" t="s">
        <v>278</v>
      </c>
      <c r="C196" s="24" t="s">
        <v>543</v>
      </c>
      <c r="D196" s="24" t="s">
        <v>191</v>
      </c>
      <c r="E196" s="31" t="s">
        <v>192</v>
      </c>
      <c r="F196" s="26" t="s">
        <v>551</v>
      </c>
      <c r="G196" s="26" t="s">
        <v>552</v>
      </c>
    </row>
    <row r="197" customFormat="false" ht="39.75" hidden="false" customHeight="true" outlineLevel="0" collapsed="false">
      <c r="A197" s="24" t="s">
        <v>542</v>
      </c>
      <c r="B197" s="24" t="s">
        <v>278</v>
      </c>
      <c r="C197" s="24" t="s">
        <v>543</v>
      </c>
      <c r="D197" s="24" t="s">
        <v>195</v>
      </c>
      <c r="E197" s="29" t="s">
        <v>196</v>
      </c>
      <c r="F197" s="26" t="s">
        <v>725</v>
      </c>
      <c r="G197" s="26" t="s">
        <v>726</v>
      </c>
    </row>
    <row r="198" customFormat="false" ht="39.75" hidden="false" customHeight="true" outlineLevel="0" collapsed="false">
      <c r="A198" s="24" t="s">
        <v>553</v>
      </c>
      <c r="B198" s="24" t="s">
        <v>169</v>
      </c>
      <c r="C198" s="24" t="s">
        <v>554</v>
      </c>
      <c r="D198" s="24" t="s">
        <v>171</v>
      </c>
      <c r="E198" s="25" t="s">
        <v>172</v>
      </c>
      <c r="F198" s="26" t="s">
        <v>807</v>
      </c>
      <c r="G198" s="26" t="s">
        <v>808</v>
      </c>
    </row>
    <row r="199" customFormat="false" ht="42" hidden="false" customHeight="true" outlineLevel="0" collapsed="false">
      <c r="A199" s="24" t="s">
        <v>553</v>
      </c>
      <c r="B199" s="24" t="s">
        <v>169</v>
      </c>
      <c r="C199" s="24" t="s">
        <v>554</v>
      </c>
      <c r="D199" s="24" t="s">
        <v>175</v>
      </c>
      <c r="E199" s="27" t="s">
        <v>176</v>
      </c>
      <c r="F199" s="26" t="s">
        <v>557</v>
      </c>
      <c r="G199" s="26" t="s">
        <v>558</v>
      </c>
    </row>
    <row r="200" customFormat="false" ht="39.75" hidden="false" customHeight="true" outlineLevel="0" collapsed="false">
      <c r="A200" s="24" t="s">
        <v>553</v>
      </c>
      <c r="B200" s="24" t="s">
        <v>169</v>
      </c>
      <c r="C200" s="24" t="s">
        <v>554</v>
      </c>
      <c r="D200" s="24" t="s">
        <v>179</v>
      </c>
      <c r="E200" s="28" t="s">
        <v>180</v>
      </c>
      <c r="F200" s="26" t="s">
        <v>559</v>
      </c>
      <c r="G200" s="26" t="s">
        <v>560</v>
      </c>
    </row>
    <row r="201" customFormat="false" ht="39.75" hidden="false" customHeight="true" outlineLevel="0" collapsed="false">
      <c r="A201" s="24" t="s">
        <v>553</v>
      </c>
      <c r="B201" s="24" t="s">
        <v>169</v>
      </c>
      <c r="C201" s="24" t="s">
        <v>554</v>
      </c>
      <c r="D201" s="24" t="s">
        <v>183</v>
      </c>
      <c r="E201" s="29" t="s">
        <v>184</v>
      </c>
      <c r="F201" s="26" t="s">
        <v>729</v>
      </c>
      <c r="G201" s="26" t="s">
        <v>730</v>
      </c>
    </row>
    <row r="202" customFormat="false" ht="111.75" hidden="false" customHeight="true" outlineLevel="0" collapsed="false">
      <c r="A202" s="24" t="s">
        <v>553</v>
      </c>
      <c r="B202" s="24" t="s">
        <v>169</v>
      </c>
      <c r="C202" s="24" t="s">
        <v>554</v>
      </c>
      <c r="D202" s="24" t="s">
        <v>187</v>
      </c>
      <c r="E202" s="30" t="s">
        <v>188</v>
      </c>
      <c r="F202" s="26" t="s">
        <v>189</v>
      </c>
      <c r="G202" s="26" t="s">
        <v>809</v>
      </c>
    </row>
    <row r="203" customFormat="false" ht="39.75" hidden="false" customHeight="true" outlineLevel="0" collapsed="false">
      <c r="A203" s="24" t="s">
        <v>553</v>
      </c>
      <c r="B203" s="24" t="s">
        <v>169</v>
      </c>
      <c r="C203" s="24" t="s">
        <v>554</v>
      </c>
      <c r="D203" s="24" t="s">
        <v>191</v>
      </c>
      <c r="E203" s="31" t="s">
        <v>192</v>
      </c>
      <c r="F203" s="26" t="s">
        <v>562</v>
      </c>
      <c r="G203" s="26" t="s">
        <v>563</v>
      </c>
    </row>
    <row r="204" customFormat="false" ht="39.75" hidden="false" customHeight="true" outlineLevel="0" collapsed="false">
      <c r="A204" s="24" t="s">
        <v>553</v>
      </c>
      <c r="B204" s="24" t="s">
        <v>169</v>
      </c>
      <c r="C204" s="24" t="s">
        <v>554</v>
      </c>
      <c r="D204" s="24" t="s">
        <v>195</v>
      </c>
      <c r="E204" s="29" t="s">
        <v>196</v>
      </c>
      <c r="F204" s="26" t="s">
        <v>810</v>
      </c>
      <c r="G204" s="26" t="s">
        <v>710</v>
      </c>
    </row>
    <row r="205" customFormat="false" ht="39.75" hidden="false" customHeight="true" outlineLevel="0" collapsed="false">
      <c r="A205" s="24" t="s">
        <v>564</v>
      </c>
      <c r="B205" s="24" t="s">
        <v>200</v>
      </c>
      <c r="C205" s="24" t="s">
        <v>565</v>
      </c>
      <c r="D205" s="24" t="s">
        <v>171</v>
      </c>
      <c r="E205" s="25" t="s">
        <v>172</v>
      </c>
      <c r="F205" s="26" t="s">
        <v>811</v>
      </c>
      <c r="G205" s="26" t="s">
        <v>812</v>
      </c>
    </row>
    <row r="206" customFormat="false" ht="42" hidden="false" customHeight="true" outlineLevel="0" collapsed="false">
      <c r="A206" s="24" t="s">
        <v>564</v>
      </c>
      <c r="B206" s="24" t="s">
        <v>200</v>
      </c>
      <c r="C206" s="24" t="s">
        <v>565</v>
      </c>
      <c r="D206" s="24" t="s">
        <v>175</v>
      </c>
      <c r="E206" s="27" t="s">
        <v>176</v>
      </c>
      <c r="F206" s="26" t="s">
        <v>568</v>
      </c>
      <c r="G206" s="26" t="s">
        <v>569</v>
      </c>
    </row>
    <row r="207" customFormat="false" ht="39.75" hidden="false" customHeight="true" outlineLevel="0" collapsed="false">
      <c r="A207" s="24" t="s">
        <v>564</v>
      </c>
      <c r="B207" s="24" t="s">
        <v>200</v>
      </c>
      <c r="C207" s="24" t="s">
        <v>565</v>
      </c>
      <c r="D207" s="24" t="s">
        <v>179</v>
      </c>
      <c r="E207" s="28" t="s">
        <v>180</v>
      </c>
      <c r="F207" s="26" t="s">
        <v>570</v>
      </c>
      <c r="G207" s="26" t="s">
        <v>571</v>
      </c>
    </row>
    <row r="208" customFormat="false" ht="39.75" hidden="false" customHeight="true" outlineLevel="0" collapsed="false">
      <c r="A208" s="24" t="s">
        <v>564</v>
      </c>
      <c r="B208" s="24" t="s">
        <v>200</v>
      </c>
      <c r="C208" s="24" t="s">
        <v>565</v>
      </c>
      <c r="D208" s="24" t="s">
        <v>183</v>
      </c>
      <c r="E208" s="29" t="s">
        <v>184</v>
      </c>
      <c r="F208" s="26" t="s">
        <v>736</v>
      </c>
      <c r="G208" s="26" t="s">
        <v>737</v>
      </c>
    </row>
    <row r="209" customFormat="false" ht="111.75" hidden="false" customHeight="true" outlineLevel="0" collapsed="false">
      <c r="A209" s="24" t="s">
        <v>564</v>
      </c>
      <c r="B209" s="24" t="s">
        <v>200</v>
      </c>
      <c r="C209" s="24" t="s">
        <v>565</v>
      </c>
      <c r="D209" s="24" t="s">
        <v>187</v>
      </c>
      <c r="E209" s="30" t="s">
        <v>188</v>
      </c>
      <c r="F209" s="26" t="s">
        <v>189</v>
      </c>
      <c r="G209" s="26" t="s">
        <v>813</v>
      </c>
    </row>
    <row r="210" customFormat="false" ht="39.75" hidden="false" customHeight="true" outlineLevel="0" collapsed="false">
      <c r="A210" s="24" t="s">
        <v>564</v>
      </c>
      <c r="B210" s="24" t="s">
        <v>200</v>
      </c>
      <c r="C210" s="24" t="s">
        <v>565</v>
      </c>
      <c r="D210" s="24" t="s">
        <v>191</v>
      </c>
      <c r="E210" s="31" t="s">
        <v>192</v>
      </c>
      <c r="F210" s="26" t="s">
        <v>573</v>
      </c>
      <c r="G210" s="26" t="s">
        <v>574</v>
      </c>
    </row>
    <row r="211" customFormat="false" ht="39.75" hidden="false" customHeight="true" outlineLevel="0" collapsed="false">
      <c r="A211" s="24" t="s">
        <v>564</v>
      </c>
      <c r="B211" s="24" t="s">
        <v>200</v>
      </c>
      <c r="C211" s="24" t="s">
        <v>565</v>
      </c>
      <c r="D211" s="24" t="s">
        <v>195</v>
      </c>
      <c r="E211" s="29" t="s">
        <v>196</v>
      </c>
      <c r="F211" s="26" t="s">
        <v>739</v>
      </c>
      <c r="G211" s="26" t="s">
        <v>740</v>
      </c>
    </row>
    <row r="212" customFormat="false" ht="39.75" hidden="false" customHeight="true" outlineLevel="0" collapsed="false">
      <c r="A212" s="24" t="s">
        <v>575</v>
      </c>
      <c r="B212" s="24" t="s">
        <v>216</v>
      </c>
      <c r="C212" s="24" t="s">
        <v>576</v>
      </c>
      <c r="D212" s="24" t="s">
        <v>171</v>
      </c>
      <c r="E212" s="25" t="s">
        <v>172</v>
      </c>
      <c r="F212" s="26" t="s">
        <v>814</v>
      </c>
      <c r="G212" s="26" t="s">
        <v>815</v>
      </c>
    </row>
    <row r="213" customFormat="false" ht="42" hidden="false" customHeight="true" outlineLevel="0" collapsed="false">
      <c r="A213" s="24" t="s">
        <v>575</v>
      </c>
      <c r="B213" s="24" t="s">
        <v>216</v>
      </c>
      <c r="C213" s="24" t="s">
        <v>576</v>
      </c>
      <c r="D213" s="24" t="s">
        <v>175</v>
      </c>
      <c r="E213" s="27" t="s">
        <v>176</v>
      </c>
      <c r="F213" s="26" t="s">
        <v>579</v>
      </c>
      <c r="G213" s="26" t="s">
        <v>580</v>
      </c>
    </row>
    <row r="214" customFormat="false" ht="39.75" hidden="false" customHeight="true" outlineLevel="0" collapsed="false">
      <c r="A214" s="24" t="s">
        <v>575</v>
      </c>
      <c r="B214" s="24" t="s">
        <v>216</v>
      </c>
      <c r="C214" s="24" t="s">
        <v>576</v>
      </c>
      <c r="D214" s="24" t="s">
        <v>179</v>
      </c>
      <c r="E214" s="28" t="s">
        <v>180</v>
      </c>
      <c r="F214" s="26" t="s">
        <v>581</v>
      </c>
      <c r="G214" s="26" t="s">
        <v>582</v>
      </c>
    </row>
    <row r="215" customFormat="false" ht="39.75" hidden="false" customHeight="true" outlineLevel="0" collapsed="false">
      <c r="A215" s="24" t="s">
        <v>575</v>
      </c>
      <c r="B215" s="24" t="s">
        <v>216</v>
      </c>
      <c r="C215" s="24" t="s">
        <v>576</v>
      </c>
      <c r="D215" s="24" t="s">
        <v>183</v>
      </c>
      <c r="E215" s="29" t="s">
        <v>184</v>
      </c>
      <c r="F215" s="26" t="s">
        <v>583</v>
      </c>
      <c r="G215" s="26" t="s">
        <v>584</v>
      </c>
    </row>
    <row r="216" customFormat="false" ht="111.75" hidden="false" customHeight="true" outlineLevel="0" collapsed="false">
      <c r="A216" s="24" t="s">
        <v>575</v>
      </c>
      <c r="B216" s="24" t="s">
        <v>216</v>
      </c>
      <c r="C216" s="24" t="s">
        <v>576</v>
      </c>
      <c r="D216" s="24" t="s">
        <v>187</v>
      </c>
      <c r="E216" s="30" t="s">
        <v>188</v>
      </c>
      <c r="F216" s="26" t="s">
        <v>189</v>
      </c>
      <c r="G216" s="26" t="s">
        <v>816</v>
      </c>
    </row>
    <row r="217" customFormat="false" ht="42" hidden="false" customHeight="true" outlineLevel="0" collapsed="false">
      <c r="A217" s="24" t="s">
        <v>575</v>
      </c>
      <c r="B217" s="24" t="s">
        <v>216</v>
      </c>
      <c r="C217" s="24" t="s">
        <v>576</v>
      </c>
      <c r="D217" s="24" t="s">
        <v>191</v>
      </c>
      <c r="E217" s="31" t="s">
        <v>192</v>
      </c>
      <c r="F217" s="26" t="s">
        <v>586</v>
      </c>
      <c r="G217" s="26" t="s">
        <v>587</v>
      </c>
    </row>
    <row r="218" customFormat="false" ht="39.75" hidden="false" customHeight="true" outlineLevel="0" collapsed="false">
      <c r="A218" s="24" t="s">
        <v>575</v>
      </c>
      <c r="B218" s="24" t="s">
        <v>216</v>
      </c>
      <c r="C218" s="24" t="s">
        <v>576</v>
      </c>
      <c r="D218" s="24" t="s">
        <v>195</v>
      </c>
      <c r="E218" s="29" t="s">
        <v>196</v>
      </c>
      <c r="F218" s="26" t="s">
        <v>817</v>
      </c>
      <c r="G218" s="26" t="s">
        <v>710</v>
      </c>
    </row>
  </sheetData>
  <printOptions headings="false" gridLines="false" gridLinesSet="true" horizontalCentered="false" verticalCentered="false"/>
  <pageMargins left="0.4" right="0.4" top="0.5" bottom="0.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0"/>
    <col collapsed="false" customWidth="true" hidden="false" outlineLevel="0" max="2" min="2" style="0" width="28"/>
    <col collapsed="false" customWidth="true" hidden="false" outlineLevel="0" max="3" min="3" style="0" width="75"/>
    <col collapsed="false" customWidth="true" hidden="false" outlineLevel="0" max="4" min="4" style="0" width="35"/>
    <col collapsed="false" customWidth="true" hidden="false" outlineLevel="0" max="5" min="5" style="0" width="18"/>
  </cols>
  <sheetData>
    <row r="1" customFormat="false" ht="30" hidden="false" customHeight="true" outlineLevel="0" collapsed="false">
      <c r="A1" s="34" t="s">
        <v>818</v>
      </c>
      <c r="B1" s="34"/>
      <c r="C1" s="34"/>
      <c r="D1" s="34"/>
      <c r="E1" s="34"/>
    </row>
    <row r="3" customFormat="false" ht="24" hidden="false" customHeight="true" outlineLevel="0" collapsed="false">
      <c r="A3" s="23" t="s">
        <v>161</v>
      </c>
      <c r="B3" s="23" t="s">
        <v>819</v>
      </c>
      <c r="C3" s="23" t="s">
        <v>820</v>
      </c>
      <c r="D3" s="23" t="s">
        <v>821</v>
      </c>
      <c r="E3" s="23" t="s">
        <v>822</v>
      </c>
    </row>
    <row r="4" customFormat="false" ht="99.75" hidden="false" customHeight="true" outlineLevel="0" collapsed="false">
      <c r="A4" s="35" t="s">
        <v>199</v>
      </c>
      <c r="B4" s="30" t="s">
        <v>823</v>
      </c>
      <c r="C4" s="26" t="s">
        <v>824</v>
      </c>
      <c r="D4" s="26" t="s">
        <v>825</v>
      </c>
      <c r="E4" s="26"/>
    </row>
    <row r="5" customFormat="false" ht="99.75" hidden="false" customHeight="true" outlineLevel="0" collapsed="false">
      <c r="A5" s="35" t="s">
        <v>247</v>
      </c>
      <c r="B5" s="30" t="s">
        <v>826</v>
      </c>
      <c r="C5" s="26" t="s">
        <v>827</v>
      </c>
      <c r="D5" s="26" t="s">
        <v>828</v>
      </c>
      <c r="E5" s="26"/>
    </row>
    <row r="6" customFormat="false" ht="99.75" hidden="false" customHeight="true" outlineLevel="0" collapsed="false">
      <c r="A6" s="35" t="s">
        <v>291</v>
      </c>
      <c r="B6" s="30" t="s">
        <v>829</v>
      </c>
      <c r="C6" s="26" t="s">
        <v>830</v>
      </c>
      <c r="D6" s="26" t="s">
        <v>831</v>
      </c>
      <c r="E6" s="26"/>
    </row>
    <row r="7" customFormat="false" ht="99.75" hidden="false" customHeight="true" outlineLevel="0" collapsed="false">
      <c r="A7" s="35" t="s">
        <v>392</v>
      </c>
      <c r="B7" s="30" t="s">
        <v>832</v>
      </c>
      <c r="C7" s="26" t="s">
        <v>833</v>
      </c>
      <c r="D7" s="26" t="s">
        <v>834</v>
      </c>
      <c r="E7" s="26"/>
    </row>
    <row r="8" customFormat="false" ht="99.75" hidden="false" customHeight="true" outlineLevel="0" collapsed="false">
      <c r="A8" s="35" t="s">
        <v>505</v>
      </c>
      <c r="B8" s="30" t="s">
        <v>835</v>
      </c>
      <c r="C8" s="26" t="s">
        <v>836</v>
      </c>
      <c r="D8" s="26" t="s">
        <v>837</v>
      </c>
      <c r="E8" s="26"/>
    </row>
    <row r="9" customFormat="false" ht="99.75" hidden="false" customHeight="true" outlineLevel="0" collapsed="false">
      <c r="A9" s="35" t="s">
        <v>542</v>
      </c>
      <c r="B9" s="30" t="s">
        <v>838</v>
      </c>
      <c r="C9" s="26" t="s">
        <v>839</v>
      </c>
      <c r="D9" s="26" t="s">
        <v>840</v>
      </c>
      <c r="E9" s="26"/>
    </row>
  </sheetData>
  <mergeCells count="1">
    <mergeCell ref="A1:E1"/>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0"/>
    <col collapsed="false" customWidth="true" hidden="false" outlineLevel="0" max="2" min="2" style="0" width="14"/>
    <col collapsed="false" customWidth="true" hidden="false" outlineLevel="0" max="3" min="3" style="0" width="70"/>
  </cols>
  <sheetData>
    <row r="1" customFormat="false" ht="25.5" hidden="false" customHeight="true" outlineLevel="0" collapsed="false">
      <c r="A1" s="36" t="s">
        <v>841</v>
      </c>
      <c r="B1" s="36"/>
      <c r="C1" s="36"/>
    </row>
    <row r="3" customFormat="false" ht="15" hidden="false" customHeight="false" outlineLevel="0" collapsed="false">
      <c r="A3" s="37" t="s">
        <v>161</v>
      </c>
      <c r="B3" s="37" t="s">
        <v>162</v>
      </c>
      <c r="C3" s="37" t="s">
        <v>842</v>
      </c>
    </row>
    <row r="4" customFormat="false" ht="15" hidden="false" customHeight="false" outlineLevel="0" collapsed="false">
      <c r="A4" s="38" t="s">
        <v>168</v>
      </c>
      <c r="B4" s="38" t="s">
        <v>169</v>
      </c>
      <c r="C4" s="38" t="s">
        <v>170</v>
      </c>
    </row>
    <row r="5" customFormat="false" ht="15" hidden="false" customHeight="false" outlineLevel="0" collapsed="false">
      <c r="A5" s="39" t="s">
        <v>199</v>
      </c>
      <c r="B5" s="39" t="s">
        <v>200</v>
      </c>
      <c r="C5" s="39" t="s">
        <v>201</v>
      </c>
    </row>
    <row r="6" customFormat="false" ht="15" hidden="false" customHeight="false" outlineLevel="0" collapsed="false">
      <c r="A6" s="40" t="s">
        <v>215</v>
      </c>
      <c r="B6" s="40" t="s">
        <v>216</v>
      </c>
      <c r="C6" s="40" t="s">
        <v>217</v>
      </c>
    </row>
    <row r="7" customFormat="false" ht="15" hidden="false" customHeight="false" outlineLevel="0" collapsed="false">
      <c r="A7" s="38" t="s">
        <v>231</v>
      </c>
      <c r="B7" s="38" t="s">
        <v>232</v>
      </c>
      <c r="C7" s="38" t="s">
        <v>233</v>
      </c>
    </row>
    <row r="8" customFormat="false" ht="15" hidden="false" customHeight="false" outlineLevel="0" collapsed="false">
      <c r="A8" s="39" t="s">
        <v>247</v>
      </c>
      <c r="B8" s="39" t="s">
        <v>248</v>
      </c>
      <c r="C8" s="39" t="s">
        <v>249</v>
      </c>
    </row>
    <row r="9" customFormat="false" ht="15" hidden="false" customHeight="false" outlineLevel="0" collapsed="false">
      <c r="A9" s="38" t="s">
        <v>261</v>
      </c>
      <c r="B9" s="38" t="s">
        <v>262</v>
      </c>
      <c r="C9" s="38" t="s">
        <v>263</v>
      </c>
    </row>
    <row r="10" customFormat="false" ht="15" hidden="false" customHeight="false" outlineLevel="0" collapsed="false">
      <c r="A10" s="38" t="s">
        <v>277</v>
      </c>
      <c r="B10" s="38" t="s">
        <v>278</v>
      </c>
      <c r="C10" s="38" t="s">
        <v>279</v>
      </c>
    </row>
    <row r="11" customFormat="false" ht="15" hidden="false" customHeight="false" outlineLevel="0" collapsed="false">
      <c r="A11" s="39" t="s">
        <v>291</v>
      </c>
      <c r="B11" s="39" t="s">
        <v>169</v>
      </c>
      <c r="C11" s="39" t="s">
        <v>292</v>
      </c>
    </row>
    <row r="12" customFormat="false" ht="15" hidden="false" customHeight="false" outlineLevel="0" collapsed="false">
      <c r="A12" s="40" t="s">
        <v>304</v>
      </c>
      <c r="B12" s="40" t="s">
        <v>200</v>
      </c>
      <c r="C12" s="40" t="s">
        <v>305</v>
      </c>
    </row>
    <row r="13" customFormat="false" ht="15" hidden="false" customHeight="false" outlineLevel="0" collapsed="false">
      <c r="A13" s="41" t="s">
        <v>316</v>
      </c>
      <c r="B13" s="41" t="s">
        <v>216</v>
      </c>
      <c r="C13" s="41" t="s">
        <v>317</v>
      </c>
    </row>
    <row r="14" customFormat="false" ht="15" hidden="false" customHeight="false" outlineLevel="0" collapsed="false">
      <c r="A14" s="38" t="s">
        <v>331</v>
      </c>
      <c r="B14" s="38" t="s">
        <v>232</v>
      </c>
      <c r="C14" s="38" t="s">
        <v>332</v>
      </c>
    </row>
    <row r="15" customFormat="false" ht="15" hidden="false" customHeight="false" outlineLevel="0" collapsed="false">
      <c r="A15" s="38" t="s">
        <v>342</v>
      </c>
      <c r="B15" s="38" t="s">
        <v>248</v>
      </c>
      <c r="C15" s="38" t="s">
        <v>343</v>
      </c>
    </row>
    <row r="16" customFormat="false" ht="15" hidden="false" customHeight="false" outlineLevel="0" collapsed="false">
      <c r="A16" s="38" t="s">
        <v>355</v>
      </c>
      <c r="B16" s="38" t="s">
        <v>262</v>
      </c>
      <c r="C16" s="38" t="s">
        <v>356</v>
      </c>
    </row>
    <row r="17" customFormat="false" ht="15" hidden="false" customHeight="false" outlineLevel="0" collapsed="false">
      <c r="A17" s="38" t="s">
        <v>366</v>
      </c>
      <c r="B17" s="38" t="s">
        <v>278</v>
      </c>
      <c r="C17" s="38" t="s">
        <v>367</v>
      </c>
    </row>
    <row r="18" customFormat="false" ht="15" hidden="false" customHeight="false" outlineLevel="0" collapsed="false">
      <c r="A18" s="38" t="s">
        <v>381</v>
      </c>
      <c r="B18" s="38" t="s">
        <v>169</v>
      </c>
      <c r="C18" s="38" t="s">
        <v>382</v>
      </c>
    </row>
    <row r="19" customFormat="false" ht="15" hidden="false" customHeight="false" outlineLevel="0" collapsed="false">
      <c r="A19" s="41" t="s">
        <v>392</v>
      </c>
      <c r="B19" s="41" t="s">
        <v>200</v>
      </c>
      <c r="C19" s="41" t="s">
        <v>393</v>
      </c>
    </row>
    <row r="20" customFormat="false" ht="15" hidden="false" customHeight="false" outlineLevel="0" collapsed="false">
      <c r="A20" s="40" t="s">
        <v>407</v>
      </c>
      <c r="B20" s="40" t="s">
        <v>216</v>
      </c>
      <c r="C20" s="40" t="s">
        <v>408</v>
      </c>
    </row>
    <row r="21" customFormat="false" ht="15" hidden="false" customHeight="false" outlineLevel="0" collapsed="false">
      <c r="A21" s="38" t="s">
        <v>420</v>
      </c>
      <c r="B21" s="38" t="s">
        <v>232</v>
      </c>
      <c r="C21" s="38" t="s">
        <v>421</v>
      </c>
    </row>
    <row r="22" customFormat="false" ht="15" hidden="false" customHeight="false" outlineLevel="0" collapsed="false">
      <c r="A22" s="38" t="s">
        <v>431</v>
      </c>
      <c r="B22" s="38" t="s">
        <v>248</v>
      </c>
      <c r="C22" s="38" t="s">
        <v>432</v>
      </c>
    </row>
    <row r="23" customFormat="false" ht="15" hidden="false" customHeight="false" outlineLevel="0" collapsed="false">
      <c r="A23" s="38" t="s">
        <v>442</v>
      </c>
      <c r="B23" s="38" t="s">
        <v>262</v>
      </c>
      <c r="C23" s="38" t="s">
        <v>443</v>
      </c>
    </row>
    <row r="24" customFormat="false" ht="23.85" hidden="false" customHeight="false" outlineLevel="0" collapsed="false">
      <c r="A24" s="42" t="s">
        <v>455</v>
      </c>
      <c r="B24" s="42" t="s">
        <v>278</v>
      </c>
      <c r="C24" s="42" t="s">
        <v>843</v>
      </c>
    </row>
    <row r="25" customFormat="false" ht="15" hidden="false" customHeight="false" outlineLevel="0" collapsed="false">
      <c r="A25" s="38" t="s">
        <v>470</v>
      </c>
      <c r="B25" s="38" t="s">
        <v>169</v>
      </c>
      <c r="C25" s="38" t="s">
        <v>471</v>
      </c>
    </row>
    <row r="26" customFormat="false" ht="15" hidden="false" customHeight="false" outlineLevel="0" collapsed="false">
      <c r="A26" s="40" t="s">
        <v>481</v>
      </c>
      <c r="B26" s="40" t="s">
        <v>200</v>
      </c>
      <c r="C26" s="40" t="s">
        <v>482</v>
      </c>
    </row>
    <row r="27" customFormat="false" ht="15" hidden="false" customHeight="false" outlineLevel="0" collapsed="false">
      <c r="A27" s="40" t="s">
        <v>492</v>
      </c>
      <c r="B27" s="40" t="s">
        <v>216</v>
      </c>
      <c r="C27" s="40" t="s">
        <v>493</v>
      </c>
    </row>
    <row r="28" customFormat="false" ht="15" hidden="false" customHeight="false" outlineLevel="0" collapsed="false">
      <c r="A28" s="41" t="s">
        <v>505</v>
      </c>
      <c r="B28" s="41" t="s">
        <v>232</v>
      </c>
      <c r="C28" s="41" t="s">
        <v>506</v>
      </c>
    </row>
    <row r="29" customFormat="false" ht="15" hidden="false" customHeight="false" outlineLevel="0" collapsed="false">
      <c r="A29" s="38" t="s">
        <v>520</v>
      </c>
      <c r="B29" s="38" t="s">
        <v>248</v>
      </c>
      <c r="C29" s="38" t="s">
        <v>521</v>
      </c>
    </row>
    <row r="30" customFormat="false" ht="15" hidden="false" customHeight="false" outlineLevel="0" collapsed="false">
      <c r="A30" s="38" t="s">
        <v>531</v>
      </c>
      <c r="B30" s="38" t="s">
        <v>262</v>
      </c>
      <c r="C30" s="38" t="s">
        <v>532</v>
      </c>
    </row>
    <row r="31" customFormat="false" ht="15" hidden="false" customHeight="false" outlineLevel="0" collapsed="false">
      <c r="A31" s="39" t="s">
        <v>542</v>
      </c>
      <c r="B31" s="39" t="s">
        <v>278</v>
      </c>
      <c r="C31" s="39" t="s">
        <v>543</v>
      </c>
    </row>
    <row r="32" customFormat="false" ht="15" hidden="false" customHeight="false" outlineLevel="0" collapsed="false">
      <c r="A32" s="38" t="s">
        <v>553</v>
      </c>
      <c r="B32" s="38" t="s">
        <v>169</v>
      </c>
      <c r="C32" s="38" t="s">
        <v>554</v>
      </c>
    </row>
    <row r="33" customFormat="false" ht="15" hidden="false" customHeight="false" outlineLevel="0" collapsed="false">
      <c r="A33" s="40" t="s">
        <v>564</v>
      </c>
      <c r="B33" s="40" t="s">
        <v>200</v>
      </c>
      <c r="C33" s="40" t="s">
        <v>565</v>
      </c>
    </row>
    <row r="34" customFormat="false" ht="15" hidden="false" customHeight="false" outlineLevel="0" collapsed="false">
      <c r="A34" s="40" t="s">
        <v>575</v>
      </c>
      <c r="B34" s="40" t="s">
        <v>216</v>
      </c>
      <c r="C34" s="40" t="s">
        <v>576</v>
      </c>
    </row>
  </sheetData>
  <mergeCells count="1">
    <mergeCell ref="A1:C1"/>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
    <col collapsed="false" customWidth="true" hidden="false" outlineLevel="0" max="2" min="2" style="0" width="28"/>
    <col collapsed="false" customWidth="true" hidden="false" outlineLevel="0" max="3" min="3" style="0" width="20"/>
    <col collapsed="false" customWidth="true" hidden="false" outlineLevel="0" max="4" min="4" style="0" width="50"/>
  </cols>
  <sheetData>
    <row r="1" customFormat="false" ht="25.5" hidden="false" customHeight="true" outlineLevel="0" collapsed="false">
      <c r="A1" s="36" t="s">
        <v>844</v>
      </c>
      <c r="B1" s="36"/>
      <c r="C1" s="36"/>
      <c r="D1" s="36"/>
    </row>
    <row r="2" customFormat="false" ht="15" hidden="false" customHeight="false" outlineLevel="0" collapsed="false">
      <c r="A2" s="43" t="s">
        <v>845</v>
      </c>
      <c r="B2" s="43"/>
      <c r="C2" s="43"/>
      <c r="D2" s="43"/>
    </row>
    <row r="4" customFormat="false" ht="15" hidden="false" customHeight="false" outlineLevel="0" collapsed="false">
      <c r="A4" s="44" t="s">
        <v>846</v>
      </c>
      <c r="B4" s="44" t="s">
        <v>847</v>
      </c>
      <c r="C4" s="44" t="s">
        <v>848</v>
      </c>
      <c r="D4" s="44" t="s">
        <v>849</v>
      </c>
    </row>
    <row r="5" customFormat="false" ht="15" hidden="false" customHeight="false" outlineLevel="0" collapsed="false">
      <c r="A5" s="45" t="n">
        <v>1</v>
      </c>
      <c r="B5" s="46" t="s">
        <v>850</v>
      </c>
      <c r="C5" s="46" t="s">
        <v>851</v>
      </c>
      <c r="D5" s="46"/>
    </row>
    <row r="6" customFormat="false" ht="15" hidden="false" customHeight="false" outlineLevel="0" collapsed="false">
      <c r="A6" s="45" t="n">
        <v>2</v>
      </c>
      <c r="B6" s="46" t="s">
        <v>852</v>
      </c>
      <c r="C6" s="46" t="s">
        <v>851</v>
      </c>
      <c r="D6" s="46"/>
    </row>
    <row r="7" customFormat="false" ht="15" hidden="false" customHeight="false" outlineLevel="0" collapsed="false">
      <c r="A7" s="45" t="n">
        <v>3</v>
      </c>
      <c r="B7" s="46" t="s">
        <v>853</v>
      </c>
      <c r="C7" s="46" t="s">
        <v>851</v>
      </c>
      <c r="D7" s="46"/>
    </row>
    <row r="8" customFormat="false" ht="15" hidden="false" customHeight="false" outlineLevel="0" collapsed="false">
      <c r="A8" s="45" t="n">
        <v>4</v>
      </c>
      <c r="B8" s="46" t="s">
        <v>854</v>
      </c>
      <c r="C8" s="46" t="s">
        <v>851</v>
      </c>
      <c r="D8" s="46"/>
    </row>
    <row r="9" customFormat="false" ht="15" hidden="false" customHeight="false" outlineLevel="0" collapsed="false">
      <c r="A9" s="45" t="n">
        <v>5</v>
      </c>
      <c r="B9" s="46" t="s">
        <v>855</v>
      </c>
      <c r="C9" s="46" t="s">
        <v>851</v>
      </c>
      <c r="D9" s="46"/>
    </row>
    <row r="10" customFormat="false" ht="15" hidden="false" customHeight="false" outlineLevel="0" collapsed="false">
      <c r="A10" s="45" t="n">
        <v>6</v>
      </c>
      <c r="B10" s="46" t="s">
        <v>856</v>
      </c>
      <c r="C10" s="46" t="s">
        <v>851</v>
      </c>
      <c r="D10" s="46"/>
    </row>
    <row r="11" customFormat="false" ht="15" hidden="false" customHeight="false" outlineLevel="0" collapsed="false">
      <c r="A11" s="45" t="n">
        <v>7</v>
      </c>
      <c r="B11" s="46" t="s">
        <v>857</v>
      </c>
      <c r="C11" s="46" t="s">
        <v>851</v>
      </c>
      <c r="D11" s="46"/>
    </row>
    <row r="12" customFormat="false" ht="15" hidden="false" customHeight="false" outlineLevel="0" collapsed="false">
      <c r="A12" s="45" t="n">
        <v>8</v>
      </c>
      <c r="B12" s="46" t="s">
        <v>858</v>
      </c>
      <c r="C12" s="46" t="s">
        <v>851</v>
      </c>
      <c r="D12" s="46"/>
    </row>
    <row r="13" customFormat="false" ht="15" hidden="false" customHeight="false" outlineLevel="0" collapsed="false">
      <c r="A13" s="45" t="n">
        <v>9</v>
      </c>
      <c r="B13" s="46" t="s">
        <v>859</v>
      </c>
      <c r="C13" s="46" t="s">
        <v>851</v>
      </c>
      <c r="D13" s="46"/>
    </row>
    <row r="14" customFormat="false" ht="15" hidden="false" customHeight="false" outlineLevel="0" collapsed="false">
      <c r="A14" s="45" t="n">
        <v>10</v>
      </c>
      <c r="B14" s="46" t="s">
        <v>860</v>
      </c>
      <c r="C14" s="46" t="s">
        <v>851</v>
      </c>
      <c r="D14" s="46"/>
    </row>
    <row r="15" customFormat="false" ht="15" hidden="false" customHeight="false" outlineLevel="0" collapsed="false">
      <c r="A15" s="45" t="n">
        <v>11</v>
      </c>
      <c r="B15" s="46" t="s">
        <v>861</v>
      </c>
      <c r="C15" s="46" t="s">
        <v>851</v>
      </c>
      <c r="D15" s="46"/>
    </row>
    <row r="16" customFormat="false" ht="15" hidden="false" customHeight="false" outlineLevel="0" collapsed="false">
      <c r="A16" s="45" t="n">
        <v>12</v>
      </c>
      <c r="B16" s="46" t="s">
        <v>862</v>
      </c>
      <c r="C16" s="46" t="s">
        <v>851</v>
      </c>
      <c r="D16" s="46"/>
    </row>
    <row r="17" customFormat="false" ht="15" hidden="false" customHeight="false" outlineLevel="0" collapsed="false">
      <c r="A17" s="45" t="n">
        <v>13</v>
      </c>
      <c r="B17" s="46" t="s">
        <v>863</v>
      </c>
      <c r="C17" s="46" t="s">
        <v>851</v>
      </c>
      <c r="D17" s="46"/>
    </row>
    <row r="18" customFormat="false" ht="15" hidden="false" customHeight="false" outlineLevel="0" collapsed="false">
      <c r="A18" s="45" t="n">
        <v>14</v>
      </c>
      <c r="B18" s="46" t="s">
        <v>864</v>
      </c>
      <c r="C18" s="46" t="s">
        <v>851</v>
      </c>
      <c r="D18" s="46"/>
    </row>
    <row r="19" customFormat="false" ht="15" hidden="false" customHeight="false" outlineLevel="0" collapsed="false">
      <c r="A19" s="45" t="n">
        <v>15</v>
      </c>
      <c r="B19" s="46" t="s">
        <v>865</v>
      </c>
      <c r="C19" s="46" t="s">
        <v>851</v>
      </c>
      <c r="D19" s="46"/>
    </row>
    <row r="20" customFormat="false" ht="15" hidden="false" customHeight="false" outlineLevel="0" collapsed="false">
      <c r="A20" s="45" t="n">
        <v>16</v>
      </c>
      <c r="B20" s="46"/>
      <c r="C20" s="46"/>
      <c r="D20" s="46"/>
    </row>
    <row r="21" customFormat="false" ht="15" hidden="false" customHeight="false" outlineLevel="0" collapsed="false">
      <c r="A21" s="45" t="n">
        <v>17</v>
      </c>
      <c r="B21" s="46"/>
      <c r="C21" s="46"/>
      <c r="D21" s="46"/>
    </row>
    <row r="22" customFormat="false" ht="15" hidden="false" customHeight="false" outlineLevel="0" collapsed="false">
      <c r="A22" s="45" t="n">
        <v>18</v>
      </c>
      <c r="B22" s="46"/>
      <c r="C22" s="46"/>
      <c r="D22" s="46"/>
    </row>
    <row r="23" customFormat="false" ht="15" hidden="false" customHeight="false" outlineLevel="0" collapsed="false">
      <c r="A23" s="45" t="n">
        <v>19</v>
      </c>
      <c r="B23" s="46"/>
      <c r="C23" s="46"/>
      <c r="D23" s="46"/>
    </row>
    <row r="24" customFormat="false" ht="15" hidden="false" customHeight="false" outlineLevel="0" collapsed="false">
      <c r="A24" s="45" t="n">
        <v>20</v>
      </c>
      <c r="B24" s="46"/>
      <c r="C24" s="46"/>
      <c r="D24" s="46"/>
    </row>
    <row r="25" customFormat="false" ht="15" hidden="false" customHeight="false" outlineLevel="0" collapsed="false">
      <c r="A25" s="45" t="n">
        <v>21</v>
      </c>
      <c r="B25" s="46"/>
      <c r="C25" s="46"/>
      <c r="D25" s="46"/>
    </row>
    <row r="26" customFormat="false" ht="15" hidden="false" customHeight="false" outlineLevel="0" collapsed="false">
      <c r="A26" s="45" t="n">
        <v>22</v>
      </c>
      <c r="B26" s="46"/>
      <c r="C26" s="46"/>
      <c r="D26" s="46"/>
    </row>
    <row r="27" customFormat="false" ht="15" hidden="false" customHeight="false" outlineLevel="0" collapsed="false">
      <c r="A27" s="45" t="n">
        <v>23</v>
      </c>
      <c r="B27" s="46"/>
      <c r="C27" s="46"/>
      <c r="D27" s="46"/>
    </row>
    <row r="28" customFormat="false" ht="15" hidden="false" customHeight="false" outlineLevel="0" collapsed="false">
      <c r="A28" s="45" t="n">
        <v>24</v>
      </c>
      <c r="B28" s="46"/>
      <c r="C28" s="46"/>
      <c r="D28" s="46"/>
    </row>
    <row r="29" customFormat="false" ht="15" hidden="false" customHeight="false" outlineLevel="0" collapsed="false">
      <c r="A29" s="45" t="n">
        <v>25</v>
      </c>
      <c r="B29" s="46"/>
      <c r="C29" s="46"/>
      <c r="D29" s="46"/>
    </row>
    <row r="30" customFormat="false" ht="15" hidden="false" customHeight="false" outlineLevel="0" collapsed="false">
      <c r="A30" s="45" t="n">
        <v>26</v>
      </c>
      <c r="B30" s="46"/>
      <c r="C30" s="46"/>
      <c r="D30" s="46"/>
    </row>
    <row r="31" customFormat="false" ht="15" hidden="false" customHeight="false" outlineLevel="0" collapsed="false">
      <c r="A31" s="45" t="n">
        <v>27</v>
      </c>
      <c r="B31" s="46"/>
      <c r="C31" s="46"/>
      <c r="D31" s="46"/>
    </row>
    <row r="32" customFormat="false" ht="15" hidden="false" customHeight="false" outlineLevel="0" collapsed="false">
      <c r="A32" s="45" t="n">
        <v>28</v>
      </c>
      <c r="B32" s="46"/>
      <c r="C32" s="46"/>
      <c r="D32" s="46"/>
    </row>
    <row r="33" customFormat="false" ht="15" hidden="false" customHeight="false" outlineLevel="0" collapsed="false">
      <c r="A33" s="45" t="n">
        <v>29</v>
      </c>
      <c r="B33" s="46"/>
      <c r="C33" s="46"/>
      <c r="D33" s="46"/>
    </row>
    <row r="34" customFormat="false" ht="15" hidden="false" customHeight="false" outlineLevel="0" collapsed="false">
      <c r="A34" s="45" t="n">
        <v>30</v>
      </c>
      <c r="B34" s="46"/>
      <c r="C34" s="46"/>
      <c r="D34" s="46"/>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O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22"/>
    <col collapsed="false" customWidth="true" hidden="false" outlineLevel="0" max="218" min="2" style="0" width="3.5"/>
    <col collapsed="false" customWidth="true" hidden="false" outlineLevel="0" max="223" min="219" style="0" width="9"/>
  </cols>
  <sheetData>
    <row r="1" customFormat="false" ht="25.5" hidden="false" customHeight="true" outlineLevel="0" collapsed="false">
      <c r="A1" s="47" t="s">
        <v>866</v>
      </c>
      <c r="B1" s="47"/>
      <c r="C1" s="47"/>
      <c r="D1" s="47"/>
      <c r="E1" s="47"/>
      <c r="F1" s="47"/>
      <c r="G1" s="47"/>
    </row>
    <row r="2" customFormat="false" ht="15" hidden="false" customHeight="false" outlineLevel="0" collapsed="false">
      <c r="A2" s="48" t="s">
        <v>867</v>
      </c>
      <c r="B2" s="48"/>
      <c r="C2" s="48"/>
      <c r="D2" s="48"/>
      <c r="E2" s="48"/>
      <c r="F2" s="48"/>
      <c r="G2" s="48"/>
    </row>
    <row r="3" customFormat="false" ht="27.75" hidden="false" customHeight="true" outlineLevel="0" collapsed="false">
      <c r="A3" s="11" t="s">
        <v>868</v>
      </c>
      <c r="B3" s="49" t="s">
        <v>869</v>
      </c>
      <c r="C3" s="49"/>
      <c r="D3" s="49"/>
      <c r="E3" s="49"/>
      <c r="F3" s="49"/>
      <c r="G3" s="49"/>
      <c r="H3" s="49"/>
      <c r="I3" s="50" t="s">
        <v>870</v>
      </c>
      <c r="J3" s="50"/>
      <c r="K3" s="50"/>
      <c r="L3" s="50"/>
      <c r="M3" s="50"/>
      <c r="N3" s="50"/>
      <c r="O3" s="50"/>
      <c r="P3" s="51" t="s">
        <v>871</v>
      </c>
      <c r="Q3" s="51"/>
      <c r="R3" s="51"/>
      <c r="S3" s="51"/>
      <c r="T3" s="51"/>
      <c r="U3" s="51"/>
      <c r="V3" s="51"/>
      <c r="W3" s="52" t="s">
        <v>872</v>
      </c>
      <c r="X3" s="52"/>
      <c r="Y3" s="52"/>
      <c r="Z3" s="52"/>
      <c r="AA3" s="52"/>
      <c r="AB3" s="52"/>
      <c r="AC3" s="52"/>
      <c r="AD3" s="53" t="s">
        <v>873</v>
      </c>
      <c r="AE3" s="53"/>
      <c r="AF3" s="53"/>
      <c r="AG3" s="53"/>
      <c r="AH3" s="53"/>
      <c r="AI3" s="53"/>
      <c r="AJ3" s="53"/>
      <c r="AK3" s="54" t="s">
        <v>874</v>
      </c>
      <c r="AL3" s="54"/>
      <c r="AM3" s="54"/>
      <c r="AN3" s="54"/>
      <c r="AO3" s="54"/>
      <c r="AP3" s="54"/>
      <c r="AQ3" s="54"/>
      <c r="AR3" s="55" t="s">
        <v>875</v>
      </c>
      <c r="AS3" s="55"/>
      <c r="AT3" s="55"/>
      <c r="AU3" s="55"/>
      <c r="AV3" s="55"/>
      <c r="AW3" s="55"/>
      <c r="AX3" s="55"/>
      <c r="AY3" s="49" t="s">
        <v>876</v>
      </c>
      <c r="AZ3" s="49"/>
      <c r="BA3" s="49"/>
      <c r="BB3" s="49"/>
      <c r="BC3" s="49"/>
      <c r="BD3" s="49"/>
      <c r="BE3" s="49"/>
      <c r="BF3" s="50" t="s">
        <v>877</v>
      </c>
      <c r="BG3" s="50"/>
      <c r="BH3" s="50"/>
      <c r="BI3" s="50"/>
      <c r="BJ3" s="50"/>
      <c r="BK3" s="50"/>
      <c r="BL3" s="50"/>
      <c r="BM3" s="51" t="s">
        <v>878</v>
      </c>
      <c r="BN3" s="51"/>
      <c r="BO3" s="51"/>
      <c r="BP3" s="51"/>
      <c r="BQ3" s="51"/>
      <c r="BR3" s="51"/>
      <c r="BS3" s="51"/>
      <c r="BT3" s="52" t="s">
        <v>879</v>
      </c>
      <c r="BU3" s="52"/>
      <c r="BV3" s="52"/>
      <c r="BW3" s="52"/>
      <c r="BX3" s="52"/>
      <c r="BY3" s="52"/>
      <c r="BZ3" s="52"/>
      <c r="CA3" s="53" t="s">
        <v>880</v>
      </c>
      <c r="CB3" s="53"/>
      <c r="CC3" s="53"/>
      <c r="CD3" s="53"/>
      <c r="CE3" s="53"/>
      <c r="CF3" s="53"/>
      <c r="CG3" s="53"/>
      <c r="CH3" s="54" t="s">
        <v>881</v>
      </c>
      <c r="CI3" s="54"/>
      <c r="CJ3" s="54"/>
      <c r="CK3" s="54"/>
      <c r="CL3" s="54"/>
      <c r="CM3" s="54"/>
      <c r="CN3" s="54"/>
      <c r="CO3" s="55" t="s">
        <v>882</v>
      </c>
      <c r="CP3" s="55"/>
      <c r="CQ3" s="55"/>
      <c r="CR3" s="55"/>
      <c r="CS3" s="55"/>
      <c r="CT3" s="55"/>
      <c r="CU3" s="55"/>
      <c r="CV3" s="49" t="s">
        <v>883</v>
      </c>
      <c r="CW3" s="49"/>
      <c r="CX3" s="49"/>
      <c r="CY3" s="49"/>
      <c r="CZ3" s="49"/>
      <c r="DA3" s="49"/>
      <c r="DB3" s="49"/>
      <c r="DC3" s="50" t="s">
        <v>884</v>
      </c>
      <c r="DD3" s="50"/>
      <c r="DE3" s="50"/>
      <c r="DF3" s="50"/>
      <c r="DG3" s="50"/>
      <c r="DH3" s="50"/>
      <c r="DI3" s="50"/>
      <c r="DJ3" s="51" t="s">
        <v>885</v>
      </c>
      <c r="DK3" s="51"/>
      <c r="DL3" s="51"/>
      <c r="DM3" s="51"/>
      <c r="DN3" s="51"/>
      <c r="DO3" s="51"/>
      <c r="DP3" s="51"/>
      <c r="DQ3" s="52" t="s">
        <v>886</v>
      </c>
      <c r="DR3" s="52"/>
      <c r="DS3" s="52"/>
      <c r="DT3" s="52"/>
      <c r="DU3" s="52"/>
      <c r="DV3" s="52"/>
      <c r="DW3" s="52"/>
      <c r="DX3" s="53" t="s">
        <v>887</v>
      </c>
      <c r="DY3" s="53"/>
      <c r="DZ3" s="53"/>
      <c r="EA3" s="53"/>
      <c r="EB3" s="53"/>
      <c r="EC3" s="53"/>
      <c r="ED3" s="53"/>
      <c r="EE3" s="54" t="s">
        <v>888</v>
      </c>
      <c r="EF3" s="54"/>
      <c r="EG3" s="54"/>
      <c r="EH3" s="54"/>
      <c r="EI3" s="54"/>
      <c r="EJ3" s="54"/>
      <c r="EK3" s="54"/>
      <c r="EL3" s="55" t="s">
        <v>889</v>
      </c>
      <c r="EM3" s="55"/>
      <c r="EN3" s="55"/>
      <c r="EO3" s="55"/>
      <c r="EP3" s="55"/>
      <c r="EQ3" s="55"/>
      <c r="ER3" s="55"/>
      <c r="ES3" s="49" t="s">
        <v>890</v>
      </c>
      <c r="ET3" s="49"/>
      <c r="EU3" s="49"/>
      <c r="EV3" s="49"/>
      <c r="EW3" s="49"/>
      <c r="EX3" s="49"/>
      <c r="EY3" s="49"/>
      <c r="EZ3" s="50" t="s">
        <v>891</v>
      </c>
      <c r="FA3" s="50"/>
      <c r="FB3" s="50"/>
      <c r="FC3" s="50"/>
      <c r="FD3" s="50"/>
      <c r="FE3" s="50"/>
      <c r="FF3" s="50"/>
      <c r="FG3" s="51" t="s">
        <v>892</v>
      </c>
      <c r="FH3" s="51"/>
      <c r="FI3" s="51"/>
      <c r="FJ3" s="51"/>
      <c r="FK3" s="51"/>
      <c r="FL3" s="51"/>
      <c r="FM3" s="51"/>
      <c r="FN3" s="52" t="s">
        <v>893</v>
      </c>
      <c r="FO3" s="52"/>
      <c r="FP3" s="52"/>
      <c r="FQ3" s="52"/>
      <c r="FR3" s="52"/>
      <c r="FS3" s="52"/>
      <c r="FT3" s="52"/>
      <c r="FU3" s="53" t="s">
        <v>894</v>
      </c>
      <c r="FV3" s="53"/>
      <c r="FW3" s="53"/>
      <c r="FX3" s="53"/>
      <c r="FY3" s="53"/>
      <c r="FZ3" s="53"/>
      <c r="GA3" s="53"/>
      <c r="GB3" s="54" t="s">
        <v>895</v>
      </c>
      <c r="GC3" s="54"/>
      <c r="GD3" s="54"/>
      <c r="GE3" s="54"/>
      <c r="GF3" s="54"/>
      <c r="GG3" s="54"/>
      <c r="GH3" s="54"/>
      <c r="GI3" s="55" t="s">
        <v>896</v>
      </c>
      <c r="GJ3" s="55"/>
      <c r="GK3" s="55"/>
      <c r="GL3" s="55"/>
      <c r="GM3" s="55"/>
      <c r="GN3" s="55"/>
      <c r="GO3" s="55"/>
      <c r="GP3" s="49" t="s">
        <v>897</v>
      </c>
      <c r="GQ3" s="49"/>
      <c r="GR3" s="49"/>
      <c r="GS3" s="49"/>
      <c r="GT3" s="49"/>
      <c r="GU3" s="49"/>
      <c r="GV3" s="49"/>
      <c r="GW3" s="50" t="s">
        <v>898</v>
      </c>
      <c r="GX3" s="50"/>
      <c r="GY3" s="50"/>
      <c r="GZ3" s="50"/>
      <c r="HA3" s="50"/>
      <c r="HB3" s="50"/>
      <c r="HC3" s="50"/>
      <c r="HD3" s="51" t="s">
        <v>899</v>
      </c>
      <c r="HE3" s="51"/>
      <c r="HF3" s="51"/>
      <c r="HG3" s="51"/>
      <c r="HH3" s="51"/>
      <c r="HI3" s="51"/>
      <c r="HJ3" s="51"/>
      <c r="HK3" s="56" t="s">
        <v>900</v>
      </c>
      <c r="HL3" s="57" t="s">
        <v>901</v>
      </c>
      <c r="HM3" s="58" t="s">
        <v>902</v>
      </c>
      <c r="HN3" s="59" t="s">
        <v>903</v>
      </c>
      <c r="HO3" s="60" t="s">
        <v>904</v>
      </c>
    </row>
    <row r="4" customFormat="false" ht="13.5" hidden="false" customHeight="true" outlineLevel="0" collapsed="false">
      <c r="A4" s="11"/>
      <c r="B4" s="61" t="s">
        <v>905</v>
      </c>
      <c r="C4" s="61" t="s">
        <v>906</v>
      </c>
      <c r="D4" s="61" t="s">
        <v>907</v>
      </c>
      <c r="E4" s="61" t="s">
        <v>908</v>
      </c>
      <c r="F4" s="61" t="s">
        <v>909</v>
      </c>
      <c r="G4" s="61" t="s">
        <v>910</v>
      </c>
      <c r="H4" s="61" t="s">
        <v>911</v>
      </c>
      <c r="I4" s="61" t="s">
        <v>905</v>
      </c>
      <c r="J4" s="61" t="s">
        <v>906</v>
      </c>
      <c r="K4" s="61" t="s">
        <v>907</v>
      </c>
      <c r="L4" s="61" t="s">
        <v>908</v>
      </c>
      <c r="M4" s="61" t="s">
        <v>909</v>
      </c>
      <c r="N4" s="61" t="s">
        <v>910</v>
      </c>
      <c r="O4" s="61" t="s">
        <v>911</v>
      </c>
      <c r="P4" s="61" t="s">
        <v>905</v>
      </c>
      <c r="Q4" s="61" t="s">
        <v>906</v>
      </c>
      <c r="R4" s="61" t="s">
        <v>907</v>
      </c>
      <c r="S4" s="61" t="s">
        <v>908</v>
      </c>
      <c r="T4" s="61" t="s">
        <v>909</v>
      </c>
      <c r="U4" s="61" t="s">
        <v>910</v>
      </c>
      <c r="V4" s="61" t="s">
        <v>911</v>
      </c>
      <c r="W4" s="61" t="s">
        <v>905</v>
      </c>
      <c r="X4" s="61" t="s">
        <v>906</v>
      </c>
      <c r="Y4" s="61" t="s">
        <v>907</v>
      </c>
      <c r="Z4" s="61" t="s">
        <v>908</v>
      </c>
      <c r="AA4" s="61" t="s">
        <v>909</v>
      </c>
      <c r="AB4" s="61" t="s">
        <v>910</v>
      </c>
      <c r="AC4" s="61" t="s">
        <v>911</v>
      </c>
      <c r="AD4" s="61" t="s">
        <v>905</v>
      </c>
      <c r="AE4" s="61" t="s">
        <v>906</v>
      </c>
      <c r="AF4" s="61" t="s">
        <v>907</v>
      </c>
      <c r="AG4" s="61" t="s">
        <v>908</v>
      </c>
      <c r="AH4" s="61" t="s">
        <v>909</v>
      </c>
      <c r="AI4" s="61" t="s">
        <v>910</v>
      </c>
      <c r="AJ4" s="61" t="s">
        <v>911</v>
      </c>
      <c r="AK4" s="61" t="s">
        <v>905</v>
      </c>
      <c r="AL4" s="61" t="s">
        <v>906</v>
      </c>
      <c r="AM4" s="61" t="s">
        <v>907</v>
      </c>
      <c r="AN4" s="61" t="s">
        <v>908</v>
      </c>
      <c r="AO4" s="61" t="s">
        <v>909</v>
      </c>
      <c r="AP4" s="61" t="s">
        <v>910</v>
      </c>
      <c r="AQ4" s="61" t="s">
        <v>911</v>
      </c>
      <c r="AR4" s="61" t="s">
        <v>905</v>
      </c>
      <c r="AS4" s="61" t="s">
        <v>906</v>
      </c>
      <c r="AT4" s="61" t="s">
        <v>907</v>
      </c>
      <c r="AU4" s="61" t="s">
        <v>908</v>
      </c>
      <c r="AV4" s="61" t="s">
        <v>909</v>
      </c>
      <c r="AW4" s="61" t="s">
        <v>910</v>
      </c>
      <c r="AX4" s="61" t="s">
        <v>911</v>
      </c>
      <c r="AY4" s="61" t="s">
        <v>905</v>
      </c>
      <c r="AZ4" s="61" t="s">
        <v>906</v>
      </c>
      <c r="BA4" s="61" t="s">
        <v>907</v>
      </c>
      <c r="BB4" s="61" t="s">
        <v>908</v>
      </c>
      <c r="BC4" s="61" t="s">
        <v>909</v>
      </c>
      <c r="BD4" s="61" t="s">
        <v>910</v>
      </c>
      <c r="BE4" s="61" t="s">
        <v>911</v>
      </c>
      <c r="BF4" s="61" t="s">
        <v>905</v>
      </c>
      <c r="BG4" s="61" t="s">
        <v>906</v>
      </c>
      <c r="BH4" s="61" t="s">
        <v>907</v>
      </c>
      <c r="BI4" s="61" t="s">
        <v>908</v>
      </c>
      <c r="BJ4" s="61" t="s">
        <v>909</v>
      </c>
      <c r="BK4" s="61" t="s">
        <v>910</v>
      </c>
      <c r="BL4" s="61" t="s">
        <v>911</v>
      </c>
      <c r="BM4" s="61" t="s">
        <v>905</v>
      </c>
      <c r="BN4" s="61" t="s">
        <v>906</v>
      </c>
      <c r="BO4" s="61" t="s">
        <v>907</v>
      </c>
      <c r="BP4" s="61" t="s">
        <v>908</v>
      </c>
      <c r="BQ4" s="61" t="s">
        <v>909</v>
      </c>
      <c r="BR4" s="61" t="s">
        <v>910</v>
      </c>
      <c r="BS4" s="61" t="s">
        <v>911</v>
      </c>
      <c r="BT4" s="61" t="s">
        <v>905</v>
      </c>
      <c r="BU4" s="61" t="s">
        <v>906</v>
      </c>
      <c r="BV4" s="61" t="s">
        <v>907</v>
      </c>
      <c r="BW4" s="61" t="s">
        <v>908</v>
      </c>
      <c r="BX4" s="61" t="s">
        <v>909</v>
      </c>
      <c r="BY4" s="61" t="s">
        <v>910</v>
      </c>
      <c r="BZ4" s="61" t="s">
        <v>911</v>
      </c>
      <c r="CA4" s="61" t="s">
        <v>905</v>
      </c>
      <c r="CB4" s="61" t="s">
        <v>906</v>
      </c>
      <c r="CC4" s="61" t="s">
        <v>907</v>
      </c>
      <c r="CD4" s="61" t="s">
        <v>908</v>
      </c>
      <c r="CE4" s="61" t="s">
        <v>909</v>
      </c>
      <c r="CF4" s="61" t="s">
        <v>910</v>
      </c>
      <c r="CG4" s="61" t="s">
        <v>911</v>
      </c>
      <c r="CH4" s="61" t="s">
        <v>905</v>
      </c>
      <c r="CI4" s="61" t="s">
        <v>906</v>
      </c>
      <c r="CJ4" s="61" t="s">
        <v>907</v>
      </c>
      <c r="CK4" s="61" t="s">
        <v>908</v>
      </c>
      <c r="CL4" s="61" t="s">
        <v>909</v>
      </c>
      <c r="CM4" s="61" t="s">
        <v>910</v>
      </c>
      <c r="CN4" s="61" t="s">
        <v>911</v>
      </c>
      <c r="CO4" s="61" t="s">
        <v>905</v>
      </c>
      <c r="CP4" s="61" t="s">
        <v>906</v>
      </c>
      <c r="CQ4" s="61" t="s">
        <v>907</v>
      </c>
      <c r="CR4" s="61" t="s">
        <v>908</v>
      </c>
      <c r="CS4" s="61" t="s">
        <v>909</v>
      </c>
      <c r="CT4" s="61" t="s">
        <v>910</v>
      </c>
      <c r="CU4" s="61" t="s">
        <v>911</v>
      </c>
      <c r="CV4" s="61" t="s">
        <v>905</v>
      </c>
      <c r="CW4" s="61" t="s">
        <v>906</v>
      </c>
      <c r="CX4" s="61" t="s">
        <v>907</v>
      </c>
      <c r="CY4" s="61" t="s">
        <v>908</v>
      </c>
      <c r="CZ4" s="61" t="s">
        <v>909</v>
      </c>
      <c r="DA4" s="61" t="s">
        <v>910</v>
      </c>
      <c r="DB4" s="61" t="s">
        <v>911</v>
      </c>
      <c r="DC4" s="61" t="s">
        <v>905</v>
      </c>
      <c r="DD4" s="61" t="s">
        <v>906</v>
      </c>
      <c r="DE4" s="61" t="s">
        <v>907</v>
      </c>
      <c r="DF4" s="61" t="s">
        <v>908</v>
      </c>
      <c r="DG4" s="61" t="s">
        <v>909</v>
      </c>
      <c r="DH4" s="61" t="s">
        <v>910</v>
      </c>
      <c r="DI4" s="61" t="s">
        <v>911</v>
      </c>
      <c r="DJ4" s="61" t="s">
        <v>905</v>
      </c>
      <c r="DK4" s="61" t="s">
        <v>906</v>
      </c>
      <c r="DL4" s="61" t="s">
        <v>907</v>
      </c>
      <c r="DM4" s="61" t="s">
        <v>908</v>
      </c>
      <c r="DN4" s="61" t="s">
        <v>909</v>
      </c>
      <c r="DO4" s="61" t="s">
        <v>910</v>
      </c>
      <c r="DP4" s="61" t="s">
        <v>911</v>
      </c>
      <c r="DQ4" s="61" t="s">
        <v>905</v>
      </c>
      <c r="DR4" s="61" t="s">
        <v>906</v>
      </c>
      <c r="DS4" s="61" t="s">
        <v>907</v>
      </c>
      <c r="DT4" s="61" t="s">
        <v>908</v>
      </c>
      <c r="DU4" s="61" t="s">
        <v>909</v>
      </c>
      <c r="DV4" s="61" t="s">
        <v>910</v>
      </c>
      <c r="DW4" s="61" t="s">
        <v>911</v>
      </c>
      <c r="DX4" s="61" t="s">
        <v>905</v>
      </c>
      <c r="DY4" s="61" t="s">
        <v>906</v>
      </c>
      <c r="DZ4" s="61" t="s">
        <v>907</v>
      </c>
      <c r="EA4" s="61" t="s">
        <v>908</v>
      </c>
      <c r="EB4" s="61" t="s">
        <v>909</v>
      </c>
      <c r="EC4" s="61" t="s">
        <v>910</v>
      </c>
      <c r="ED4" s="61" t="s">
        <v>911</v>
      </c>
      <c r="EE4" s="61" t="s">
        <v>905</v>
      </c>
      <c r="EF4" s="61" t="s">
        <v>906</v>
      </c>
      <c r="EG4" s="61" t="s">
        <v>907</v>
      </c>
      <c r="EH4" s="61" t="s">
        <v>908</v>
      </c>
      <c r="EI4" s="61" t="s">
        <v>909</v>
      </c>
      <c r="EJ4" s="61" t="s">
        <v>910</v>
      </c>
      <c r="EK4" s="61" t="s">
        <v>911</v>
      </c>
      <c r="EL4" s="61" t="s">
        <v>905</v>
      </c>
      <c r="EM4" s="61" t="s">
        <v>906</v>
      </c>
      <c r="EN4" s="61" t="s">
        <v>907</v>
      </c>
      <c r="EO4" s="61" t="s">
        <v>908</v>
      </c>
      <c r="EP4" s="61" t="s">
        <v>909</v>
      </c>
      <c r="EQ4" s="61" t="s">
        <v>910</v>
      </c>
      <c r="ER4" s="61" t="s">
        <v>911</v>
      </c>
      <c r="ES4" s="61" t="s">
        <v>905</v>
      </c>
      <c r="ET4" s="61" t="s">
        <v>906</v>
      </c>
      <c r="EU4" s="61" t="s">
        <v>907</v>
      </c>
      <c r="EV4" s="61" t="s">
        <v>908</v>
      </c>
      <c r="EW4" s="61" t="s">
        <v>909</v>
      </c>
      <c r="EX4" s="61" t="s">
        <v>910</v>
      </c>
      <c r="EY4" s="61" t="s">
        <v>911</v>
      </c>
      <c r="EZ4" s="61" t="s">
        <v>905</v>
      </c>
      <c r="FA4" s="61" t="s">
        <v>906</v>
      </c>
      <c r="FB4" s="61" t="s">
        <v>907</v>
      </c>
      <c r="FC4" s="61" t="s">
        <v>908</v>
      </c>
      <c r="FD4" s="61" t="s">
        <v>909</v>
      </c>
      <c r="FE4" s="61" t="s">
        <v>910</v>
      </c>
      <c r="FF4" s="61" t="s">
        <v>911</v>
      </c>
      <c r="FG4" s="61" t="s">
        <v>905</v>
      </c>
      <c r="FH4" s="61" t="s">
        <v>906</v>
      </c>
      <c r="FI4" s="61" t="s">
        <v>907</v>
      </c>
      <c r="FJ4" s="61" t="s">
        <v>908</v>
      </c>
      <c r="FK4" s="61" t="s">
        <v>909</v>
      </c>
      <c r="FL4" s="61" t="s">
        <v>910</v>
      </c>
      <c r="FM4" s="61" t="s">
        <v>911</v>
      </c>
      <c r="FN4" s="61" t="s">
        <v>905</v>
      </c>
      <c r="FO4" s="61" t="s">
        <v>906</v>
      </c>
      <c r="FP4" s="61" t="s">
        <v>907</v>
      </c>
      <c r="FQ4" s="61" t="s">
        <v>908</v>
      </c>
      <c r="FR4" s="61" t="s">
        <v>909</v>
      </c>
      <c r="FS4" s="61" t="s">
        <v>910</v>
      </c>
      <c r="FT4" s="61" t="s">
        <v>911</v>
      </c>
      <c r="FU4" s="61" t="s">
        <v>905</v>
      </c>
      <c r="FV4" s="61" t="s">
        <v>906</v>
      </c>
      <c r="FW4" s="61" t="s">
        <v>907</v>
      </c>
      <c r="FX4" s="61" t="s">
        <v>908</v>
      </c>
      <c r="FY4" s="61" t="s">
        <v>909</v>
      </c>
      <c r="FZ4" s="61" t="s">
        <v>910</v>
      </c>
      <c r="GA4" s="61" t="s">
        <v>911</v>
      </c>
      <c r="GB4" s="61" t="s">
        <v>905</v>
      </c>
      <c r="GC4" s="61" t="s">
        <v>906</v>
      </c>
      <c r="GD4" s="61" t="s">
        <v>907</v>
      </c>
      <c r="GE4" s="61" t="s">
        <v>908</v>
      </c>
      <c r="GF4" s="61" t="s">
        <v>909</v>
      </c>
      <c r="GG4" s="61" t="s">
        <v>910</v>
      </c>
      <c r="GH4" s="61" t="s">
        <v>911</v>
      </c>
      <c r="GI4" s="61" t="s">
        <v>905</v>
      </c>
      <c r="GJ4" s="61" t="s">
        <v>906</v>
      </c>
      <c r="GK4" s="61" t="s">
        <v>907</v>
      </c>
      <c r="GL4" s="61" t="s">
        <v>908</v>
      </c>
      <c r="GM4" s="61" t="s">
        <v>909</v>
      </c>
      <c r="GN4" s="61" t="s">
        <v>910</v>
      </c>
      <c r="GO4" s="61" t="s">
        <v>911</v>
      </c>
      <c r="GP4" s="61" t="s">
        <v>905</v>
      </c>
      <c r="GQ4" s="61" t="s">
        <v>906</v>
      </c>
      <c r="GR4" s="61" t="s">
        <v>907</v>
      </c>
      <c r="GS4" s="61" t="s">
        <v>908</v>
      </c>
      <c r="GT4" s="61" t="s">
        <v>909</v>
      </c>
      <c r="GU4" s="61" t="s">
        <v>910</v>
      </c>
      <c r="GV4" s="61" t="s">
        <v>911</v>
      </c>
      <c r="GW4" s="61" t="s">
        <v>905</v>
      </c>
      <c r="GX4" s="61" t="s">
        <v>906</v>
      </c>
      <c r="GY4" s="61" t="s">
        <v>907</v>
      </c>
      <c r="GZ4" s="61" t="s">
        <v>908</v>
      </c>
      <c r="HA4" s="61" t="s">
        <v>909</v>
      </c>
      <c r="HB4" s="61" t="s">
        <v>910</v>
      </c>
      <c r="HC4" s="61" t="s">
        <v>911</v>
      </c>
      <c r="HD4" s="61" t="s">
        <v>905</v>
      </c>
      <c r="HE4" s="61" t="s">
        <v>906</v>
      </c>
      <c r="HF4" s="61" t="s">
        <v>907</v>
      </c>
      <c r="HG4" s="61" t="s">
        <v>908</v>
      </c>
      <c r="HH4" s="61" t="s">
        <v>909</v>
      </c>
      <c r="HI4" s="61" t="s">
        <v>910</v>
      </c>
      <c r="HJ4" s="61" t="s">
        <v>911</v>
      </c>
      <c r="HK4" s="56"/>
      <c r="HL4" s="56"/>
      <c r="HM4" s="56"/>
      <c r="HN4" s="56"/>
      <c r="HO4" s="56"/>
    </row>
    <row r="5" customFormat="false" ht="15.75" hidden="false" customHeight="true" outlineLevel="0" collapsed="false">
      <c r="A5" s="62" t="str">
        <f aca="false">Roster!B5</f>
        <v>Resident 1</v>
      </c>
      <c r="B5" s="63"/>
      <c r="C5" s="63"/>
      <c r="D5" s="63"/>
      <c r="E5" s="63"/>
      <c r="F5" s="63"/>
      <c r="G5" s="63"/>
      <c r="H5" s="63"/>
      <c r="I5" s="64"/>
      <c r="J5" s="64"/>
      <c r="K5" s="64"/>
      <c r="L5" s="64"/>
      <c r="M5" s="64"/>
      <c r="N5" s="64"/>
      <c r="O5" s="64"/>
      <c r="P5" s="63"/>
      <c r="Q5" s="63"/>
      <c r="R5" s="63"/>
      <c r="S5" s="63"/>
      <c r="T5" s="63"/>
      <c r="U5" s="63"/>
      <c r="V5" s="63"/>
      <c r="W5" s="64"/>
      <c r="X5" s="64"/>
      <c r="Y5" s="64"/>
      <c r="Z5" s="64"/>
      <c r="AA5" s="64"/>
      <c r="AB5" s="64"/>
      <c r="AC5" s="64"/>
      <c r="AD5" s="63"/>
      <c r="AE5" s="63"/>
      <c r="AF5" s="63"/>
      <c r="AG5" s="63"/>
      <c r="AH5" s="63"/>
      <c r="AI5" s="63"/>
      <c r="AJ5" s="63"/>
      <c r="AK5" s="64"/>
      <c r="AL5" s="64"/>
      <c r="AM5" s="64"/>
      <c r="AN5" s="64"/>
      <c r="AO5" s="64"/>
      <c r="AP5" s="64"/>
      <c r="AQ5" s="64"/>
      <c r="AR5" s="63"/>
      <c r="AS5" s="63"/>
      <c r="AT5" s="63"/>
      <c r="AU5" s="63"/>
      <c r="AV5" s="63"/>
      <c r="AW5" s="63"/>
      <c r="AX5" s="63"/>
      <c r="AY5" s="64"/>
      <c r="AZ5" s="64"/>
      <c r="BA5" s="64"/>
      <c r="BB5" s="64"/>
      <c r="BC5" s="64"/>
      <c r="BD5" s="64"/>
      <c r="BE5" s="64"/>
      <c r="BF5" s="63"/>
      <c r="BG5" s="63"/>
      <c r="BH5" s="63"/>
      <c r="BI5" s="63"/>
      <c r="BJ5" s="63"/>
      <c r="BK5" s="63"/>
      <c r="BL5" s="63"/>
      <c r="BM5" s="64"/>
      <c r="BN5" s="64"/>
      <c r="BO5" s="64"/>
      <c r="BP5" s="64"/>
      <c r="BQ5" s="64"/>
      <c r="BR5" s="64"/>
      <c r="BS5" s="64"/>
      <c r="BT5" s="63"/>
      <c r="BU5" s="63"/>
      <c r="BV5" s="63"/>
      <c r="BW5" s="63"/>
      <c r="BX5" s="63"/>
      <c r="BY5" s="63"/>
      <c r="BZ5" s="63"/>
      <c r="CA5" s="64"/>
      <c r="CB5" s="64"/>
      <c r="CC5" s="64"/>
      <c r="CD5" s="64"/>
      <c r="CE5" s="64"/>
      <c r="CF5" s="64"/>
      <c r="CG5" s="64"/>
      <c r="CH5" s="63"/>
      <c r="CI5" s="63"/>
      <c r="CJ5" s="63"/>
      <c r="CK5" s="63"/>
      <c r="CL5" s="63"/>
      <c r="CM5" s="63"/>
      <c r="CN5" s="63"/>
      <c r="CO5" s="64"/>
      <c r="CP5" s="64"/>
      <c r="CQ5" s="64"/>
      <c r="CR5" s="64"/>
      <c r="CS5" s="64"/>
      <c r="CT5" s="64"/>
      <c r="CU5" s="64"/>
      <c r="CV5" s="63"/>
      <c r="CW5" s="63"/>
      <c r="CX5" s="63"/>
      <c r="CY5" s="63"/>
      <c r="CZ5" s="63"/>
      <c r="DA5" s="63"/>
      <c r="DB5" s="63"/>
      <c r="DC5" s="64"/>
      <c r="DD5" s="64"/>
      <c r="DE5" s="64"/>
      <c r="DF5" s="64"/>
      <c r="DG5" s="64"/>
      <c r="DH5" s="64"/>
      <c r="DI5" s="64"/>
      <c r="DJ5" s="63"/>
      <c r="DK5" s="63"/>
      <c r="DL5" s="63"/>
      <c r="DM5" s="63"/>
      <c r="DN5" s="63"/>
      <c r="DO5" s="63"/>
      <c r="DP5" s="63"/>
      <c r="DQ5" s="64"/>
      <c r="DR5" s="64"/>
      <c r="DS5" s="64"/>
      <c r="DT5" s="64"/>
      <c r="DU5" s="64"/>
      <c r="DV5" s="64"/>
      <c r="DW5" s="64"/>
      <c r="DX5" s="63"/>
      <c r="DY5" s="63"/>
      <c r="DZ5" s="63"/>
      <c r="EA5" s="63"/>
      <c r="EB5" s="63"/>
      <c r="EC5" s="63"/>
      <c r="ED5" s="63"/>
      <c r="EE5" s="64"/>
      <c r="EF5" s="64"/>
      <c r="EG5" s="64"/>
      <c r="EH5" s="64"/>
      <c r="EI5" s="64"/>
      <c r="EJ5" s="64"/>
      <c r="EK5" s="64"/>
      <c r="EL5" s="63"/>
      <c r="EM5" s="63"/>
      <c r="EN5" s="63"/>
      <c r="EO5" s="63"/>
      <c r="EP5" s="63"/>
      <c r="EQ5" s="63"/>
      <c r="ER5" s="63"/>
      <c r="ES5" s="64"/>
      <c r="ET5" s="64"/>
      <c r="EU5" s="64"/>
      <c r="EV5" s="64"/>
      <c r="EW5" s="64"/>
      <c r="EX5" s="64"/>
      <c r="EY5" s="64"/>
      <c r="EZ5" s="63"/>
      <c r="FA5" s="63"/>
      <c r="FB5" s="63"/>
      <c r="FC5" s="63"/>
      <c r="FD5" s="63"/>
      <c r="FE5" s="63"/>
      <c r="FF5" s="63"/>
      <c r="FG5" s="64"/>
      <c r="FH5" s="64"/>
      <c r="FI5" s="64"/>
      <c r="FJ5" s="64"/>
      <c r="FK5" s="64"/>
      <c r="FL5" s="64"/>
      <c r="FM5" s="64"/>
      <c r="FN5" s="63"/>
      <c r="FO5" s="63"/>
      <c r="FP5" s="63"/>
      <c r="FQ5" s="63"/>
      <c r="FR5" s="63"/>
      <c r="FS5" s="63"/>
      <c r="FT5" s="63"/>
      <c r="FU5" s="64"/>
      <c r="FV5" s="64"/>
      <c r="FW5" s="64"/>
      <c r="FX5" s="64"/>
      <c r="FY5" s="64"/>
      <c r="FZ5" s="64"/>
      <c r="GA5" s="64"/>
      <c r="GB5" s="63"/>
      <c r="GC5" s="63"/>
      <c r="GD5" s="63"/>
      <c r="GE5" s="63"/>
      <c r="GF5" s="63"/>
      <c r="GG5" s="63"/>
      <c r="GH5" s="63"/>
      <c r="GI5" s="64"/>
      <c r="GJ5" s="64"/>
      <c r="GK5" s="64"/>
      <c r="GL5" s="64"/>
      <c r="GM5" s="64"/>
      <c r="GN5" s="64"/>
      <c r="GO5" s="64"/>
      <c r="GP5" s="63"/>
      <c r="GQ5" s="63"/>
      <c r="GR5" s="63"/>
      <c r="GS5" s="63"/>
      <c r="GT5" s="63"/>
      <c r="GU5" s="63"/>
      <c r="GV5" s="63"/>
      <c r="GW5" s="64"/>
      <c r="GX5" s="64"/>
      <c r="GY5" s="64"/>
      <c r="GZ5" s="64"/>
      <c r="HA5" s="64"/>
      <c r="HB5" s="64"/>
      <c r="HC5" s="64"/>
      <c r="HD5" s="63"/>
      <c r="HE5" s="63"/>
      <c r="HF5" s="63"/>
      <c r="HG5" s="63"/>
      <c r="HH5" s="63"/>
      <c r="HI5" s="63"/>
      <c r="HJ5" s="63"/>
      <c r="HK5" s="65" t="n">
        <f aca="false">COUNTIF(B5:HJ5,"A")</f>
        <v>0</v>
      </c>
      <c r="HL5" s="66" t="n">
        <f aca="false">COUNTIF(B5:HJ5,"O")</f>
        <v>0</v>
      </c>
      <c r="HM5" s="67" t="n">
        <f aca="false">COUNTIF(B5:HJ5,"D")</f>
        <v>0</v>
      </c>
      <c r="HN5" s="68" t="n">
        <f aca="false">COUNTIF(B5:HJ5,"N/A")</f>
        <v>0</v>
      </c>
      <c r="HO5" s="69" t="n">
        <f aca="false">IFERROR((HK5+HL5)/(HK5+HL5+HM5),0)</f>
        <v>0</v>
      </c>
    </row>
    <row r="6" customFormat="false" ht="15.75" hidden="false" customHeight="true" outlineLevel="0" collapsed="false">
      <c r="A6" s="62" t="str">
        <f aca="false">Roster!B6</f>
        <v>Resident 2</v>
      </c>
      <c r="B6" s="63"/>
      <c r="C6" s="63"/>
      <c r="D6" s="63"/>
      <c r="E6" s="63"/>
      <c r="F6" s="63"/>
      <c r="G6" s="63"/>
      <c r="H6" s="63"/>
      <c r="I6" s="64"/>
      <c r="J6" s="64"/>
      <c r="K6" s="64"/>
      <c r="L6" s="64"/>
      <c r="M6" s="64"/>
      <c r="N6" s="64"/>
      <c r="O6" s="64"/>
      <c r="P6" s="63"/>
      <c r="Q6" s="63"/>
      <c r="R6" s="63"/>
      <c r="S6" s="63"/>
      <c r="T6" s="63"/>
      <c r="U6" s="63"/>
      <c r="V6" s="63"/>
      <c r="W6" s="64"/>
      <c r="X6" s="64"/>
      <c r="Y6" s="64"/>
      <c r="Z6" s="64"/>
      <c r="AA6" s="64"/>
      <c r="AB6" s="64"/>
      <c r="AC6" s="64"/>
      <c r="AD6" s="63"/>
      <c r="AE6" s="63"/>
      <c r="AF6" s="63"/>
      <c r="AG6" s="63"/>
      <c r="AH6" s="63"/>
      <c r="AI6" s="63"/>
      <c r="AJ6" s="63"/>
      <c r="AK6" s="64"/>
      <c r="AL6" s="64"/>
      <c r="AM6" s="64"/>
      <c r="AN6" s="64"/>
      <c r="AO6" s="64"/>
      <c r="AP6" s="64"/>
      <c r="AQ6" s="64"/>
      <c r="AR6" s="63"/>
      <c r="AS6" s="63"/>
      <c r="AT6" s="63"/>
      <c r="AU6" s="63"/>
      <c r="AV6" s="63"/>
      <c r="AW6" s="63"/>
      <c r="AX6" s="63"/>
      <c r="AY6" s="64"/>
      <c r="AZ6" s="64"/>
      <c r="BA6" s="64"/>
      <c r="BB6" s="64"/>
      <c r="BC6" s="64"/>
      <c r="BD6" s="64"/>
      <c r="BE6" s="64"/>
      <c r="BF6" s="63"/>
      <c r="BG6" s="63"/>
      <c r="BH6" s="63"/>
      <c r="BI6" s="63"/>
      <c r="BJ6" s="63"/>
      <c r="BK6" s="63"/>
      <c r="BL6" s="63"/>
      <c r="BM6" s="64"/>
      <c r="BN6" s="64"/>
      <c r="BO6" s="64"/>
      <c r="BP6" s="64"/>
      <c r="BQ6" s="64"/>
      <c r="BR6" s="64"/>
      <c r="BS6" s="64"/>
      <c r="BT6" s="63"/>
      <c r="BU6" s="63"/>
      <c r="BV6" s="63"/>
      <c r="BW6" s="63"/>
      <c r="BX6" s="63"/>
      <c r="BY6" s="63"/>
      <c r="BZ6" s="63"/>
      <c r="CA6" s="64"/>
      <c r="CB6" s="64"/>
      <c r="CC6" s="64"/>
      <c r="CD6" s="64"/>
      <c r="CE6" s="64"/>
      <c r="CF6" s="64"/>
      <c r="CG6" s="64"/>
      <c r="CH6" s="63"/>
      <c r="CI6" s="63"/>
      <c r="CJ6" s="63"/>
      <c r="CK6" s="63"/>
      <c r="CL6" s="63"/>
      <c r="CM6" s="63"/>
      <c r="CN6" s="63"/>
      <c r="CO6" s="64"/>
      <c r="CP6" s="64"/>
      <c r="CQ6" s="64"/>
      <c r="CR6" s="64"/>
      <c r="CS6" s="64"/>
      <c r="CT6" s="64"/>
      <c r="CU6" s="64"/>
      <c r="CV6" s="63"/>
      <c r="CW6" s="63"/>
      <c r="CX6" s="63"/>
      <c r="CY6" s="63"/>
      <c r="CZ6" s="63"/>
      <c r="DA6" s="63"/>
      <c r="DB6" s="63"/>
      <c r="DC6" s="64"/>
      <c r="DD6" s="64"/>
      <c r="DE6" s="64"/>
      <c r="DF6" s="64"/>
      <c r="DG6" s="64"/>
      <c r="DH6" s="64"/>
      <c r="DI6" s="64"/>
      <c r="DJ6" s="63"/>
      <c r="DK6" s="63"/>
      <c r="DL6" s="63"/>
      <c r="DM6" s="63"/>
      <c r="DN6" s="63"/>
      <c r="DO6" s="63"/>
      <c r="DP6" s="63"/>
      <c r="DQ6" s="64"/>
      <c r="DR6" s="64"/>
      <c r="DS6" s="64"/>
      <c r="DT6" s="64"/>
      <c r="DU6" s="64"/>
      <c r="DV6" s="64"/>
      <c r="DW6" s="64"/>
      <c r="DX6" s="63"/>
      <c r="DY6" s="63"/>
      <c r="DZ6" s="63"/>
      <c r="EA6" s="63"/>
      <c r="EB6" s="63"/>
      <c r="EC6" s="63"/>
      <c r="ED6" s="63"/>
      <c r="EE6" s="64"/>
      <c r="EF6" s="64"/>
      <c r="EG6" s="64"/>
      <c r="EH6" s="64"/>
      <c r="EI6" s="64"/>
      <c r="EJ6" s="64"/>
      <c r="EK6" s="64"/>
      <c r="EL6" s="63"/>
      <c r="EM6" s="63"/>
      <c r="EN6" s="63"/>
      <c r="EO6" s="63"/>
      <c r="EP6" s="63"/>
      <c r="EQ6" s="63"/>
      <c r="ER6" s="63"/>
      <c r="ES6" s="64"/>
      <c r="ET6" s="64"/>
      <c r="EU6" s="64"/>
      <c r="EV6" s="64"/>
      <c r="EW6" s="64"/>
      <c r="EX6" s="64"/>
      <c r="EY6" s="64"/>
      <c r="EZ6" s="63"/>
      <c r="FA6" s="63"/>
      <c r="FB6" s="63"/>
      <c r="FC6" s="63"/>
      <c r="FD6" s="63"/>
      <c r="FE6" s="63"/>
      <c r="FF6" s="63"/>
      <c r="FG6" s="64"/>
      <c r="FH6" s="64"/>
      <c r="FI6" s="64"/>
      <c r="FJ6" s="64"/>
      <c r="FK6" s="64"/>
      <c r="FL6" s="64"/>
      <c r="FM6" s="64"/>
      <c r="FN6" s="63"/>
      <c r="FO6" s="63"/>
      <c r="FP6" s="63"/>
      <c r="FQ6" s="63"/>
      <c r="FR6" s="63"/>
      <c r="FS6" s="63"/>
      <c r="FT6" s="63"/>
      <c r="FU6" s="64"/>
      <c r="FV6" s="64"/>
      <c r="FW6" s="64"/>
      <c r="FX6" s="64"/>
      <c r="FY6" s="64"/>
      <c r="FZ6" s="64"/>
      <c r="GA6" s="64"/>
      <c r="GB6" s="63"/>
      <c r="GC6" s="63"/>
      <c r="GD6" s="63"/>
      <c r="GE6" s="63"/>
      <c r="GF6" s="63"/>
      <c r="GG6" s="63"/>
      <c r="GH6" s="63"/>
      <c r="GI6" s="64"/>
      <c r="GJ6" s="64"/>
      <c r="GK6" s="64"/>
      <c r="GL6" s="64"/>
      <c r="GM6" s="64"/>
      <c r="GN6" s="64"/>
      <c r="GO6" s="64"/>
      <c r="GP6" s="63"/>
      <c r="GQ6" s="63"/>
      <c r="GR6" s="63"/>
      <c r="GS6" s="63"/>
      <c r="GT6" s="63"/>
      <c r="GU6" s="63"/>
      <c r="GV6" s="63"/>
      <c r="GW6" s="64"/>
      <c r="GX6" s="64"/>
      <c r="GY6" s="64"/>
      <c r="GZ6" s="64"/>
      <c r="HA6" s="64"/>
      <c r="HB6" s="64"/>
      <c r="HC6" s="64"/>
      <c r="HD6" s="63"/>
      <c r="HE6" s="63"/>
      <c r="HF6" s="63"/>
      <c r="HG6" s="63"/>
      <c r="HH6" s="63"/>
      <c r="HI6" s="63"/>
      <c r="HJ6" s="63"/>
      <c r="HK6" s="65" t="n">
        <f aca="false">COUNTIF(B6:HJ6,"A")</f>
        <v>0</v>
      </c>
      <c r="HL6" s="66" t="n">
        <f aca="false">COUNTIF(B6:HJ6,"O")</f>
        <v>0</v>
      </c>
      <c r="HM6" s="67" t="n">
        <f aca="false">COUNTIF(B6:HJ6,"D")</f>
        <v>0</v>
      </c>
      <c r="HN6" s="68" t="n">
        <f aca="false">COUNTIF(B6:HJ6,"N/A")</f>
        <v>0</v>
      </c>
      <c r="HO6" s="69" t="n">
        <f aca="false">IFERROR((HK6+HL6)/(HK6+HL6+HM6),0)</f>
        <v>0</v>
      </c>
    </row>
    <row r="7" customFormat="false" ht="15.75" hidden="false" customHeight="true" outlineLevel="0" collapsed="false">
      <c r="A7" s="62" t="str">
        <f aca="false">Roster!B7</f>
        <v>Resident 3</v>
      </c>
      <c r="B7" s="63"/>
      <c r="C7" s="63"/>
      <c r="D7" s="63"/>
      <c r="E7" s="63"/>
      <c r="F7" s="63"/>
      <c r="G7" s="63"/>
      <c r="H7" s="63"/>
      <c r="I7" s="64"/>
      <c r="J7" s="64"/>
      <c r="K7" s="64"/>
      <c r="L7" s="64"/>
      <c r="M7" s="64"/>
      <c r="N7" s="64"/>
      <c r="O7" s="64"/>
      <c r="P7" s="63"/>
      <c r="Q7" s="63"/>
      <c r="R7" s="63"/>
      <c r="S7" s="63"/>
      <c r="T7" s="63"/>
      <c r="U7" s="63"/>
      <c r="V7" s="63"/>
      <c r="W7" s="64"/>
      <c r="X7" s="64"/>
      <c r="Y7" s="64"/>
      <c r="Z7" s="64"/>
      <c r="AA7" s="64"/>
      <c r="AB7" s="64"/>
      <c r="AC7" s="64"/>
      <c r="AD7" s="63"/>
      <c r="AE7" s="63"/>
      <c r="AF7" s="63"/>
      <c r="AG7" s="63"/>
      <c r="AH7" s="63"/>
      <c r="AI7" s="63"/>
      <c r="AJ7" s="63"/>
      <c r="AK7" s="64"/>
      <c r="AL7" s="64"/>
      <c r="AM7" s="64"/>
      <c r="AN7" s="64"/>
      <c r="AO7" s="64"/>
      <c r="AP7" s="64"/>
      <c r="AQ7" s="64"/>
      <c r="AR7" s="63"/>
      <c r="AS7" s="63"/>
      <c r="AT7" s="63"/>
      <c r="AU7" s="63"/>
      <c r="AV7" s="63"/>
      <c r="AW7" s="63"/>
      <c r="AX7" s="63"/>
      <c r="AY7" s="64"/>
      <c r="AZ7" s="64"/>
      <c r="BA7" s="64"/>
      <c r="BB7" s="64"/>
      <c r="BC7" s="64"/>
      <c r="BD7" s="64"/>
      <c r="BE7" s="64"/>
      <c r="BF7" s="63"/>
      <c r="BG7" s="63"/>
      <c r="BH7" s="63"/>
      <c r="BI7" s="63"/>
      <c r="BJ7" s="63"/>
      <c r="BK7" s="63"/>
      <c r="BL7" s="63"/>
      <c r="BM7" s="64"/>
      <c r="BN7" s="64"/>
      <c r="BO7" s="64"/>
      <c r="BP7" s="64"/>
      <c r="BQ7" s="64"/>
      <c r="BR7" s="64"/>
      <c r="BS7" s="64"/>
      <c r="BT7" s="63"/>
      <c r="BU7" s="63"/>
      <c r="BV7" s="63"/>
      <c r="BW7" s="63"/>
      <c r="BX7" s="63"/>
      <c r="BY7" s="63"/>
      <c r="BZ7" s="63"/>
      <c r="CA7" s="64"/>
      <c r="CB7" s="64"/>
      <c r="CC7" s="64"/>
      <c r="CD7" s="64"/>
      <c r="CE7" s="64"/>
      <c r="CF7" s="64"/>
      <c r="CG7" s="64"/>
      <c r="CH7" s="63"/>
      <c r="CI7" s="63"/>
      <c r="CJ7" s="63"/>
      <c r="CK7" s="63"/>
      <c r="CL7" s="63"/>
      <c r="CM7" s="63"/>
      <c r="CN7" s="63"/>
      <c r="CO7" s="64"/>
      <c r="CP7" s="64"/>
      <c r="CQ7" s="64"/>
      <c r="CR7" s="64"/>
      <c r="CS7" s="64"/>
      <c r="CT7" s="64"/>
      <c r="CU7" s="64"/>
      <c r="CV7" s="63"/>
      <c r="CW7" s="63"/>
      <c r="CX7" s="63"/>
      <c r="CY7" s="63"/>
      <c r="CZ7" s="63"/>
      <c r="DA7" s="63"/>
      <c r="DB7" s="63"/>
      <c r="DC7" s="64"/>
      <c r="DD7" s="64"/>
      <c r="DE7" s="64"/>
      <c r="DF7" s="64"/>
      <c r="DG7" s="64"/>
      <c r="DH7" s="64"/>
      <c r="DI7" s="64"/>
      <c r="DJ7" s="63"/>
      <c r="DK7" s="63"/>
      <c r="DL7" s="63"/>
      <c r="DM7" s="63"/>
      <c r="DN7" s="63"/>
      <c r="DO7" s="63"/>
      <c r="DP7" s="63"/>
      <c r="DQ7" s="64"/>
      <c r="DR7" s="64"/>
      <c r="DS7" s="64"/>
      <c r="DT7" s="64"/>
      <c r="DU7" s="64"/>
      <c r="DV7" s="64"/>
      <c r="DW7" s="64"/>
      <c r="DX7" s="63"/>
      <c r="DY7" s="63"/>
      <c r="DZ7" s="63"/>
      <c r="EA7" s="63"/>
      <c r="EB7" s="63"/>
      <c r="EC7" s="63"/>
      <c r="ED7" s="63"/>
      <c r="EE7" s="64"/>
      <c r="EF7" s="64"/>
      <c r="EG7" s="64"/>
      <c r="EH7" s="64"/>
      <c r="EI7" s="64"/>
      <c r="EJ7" s="64"/>
      <c r="EK7" s="64"/>
      <c r="EL7" s="63"/>
      <c r="EM7" s="63"/>
      <c r="EN7" s="63"/>
      <c r="EO7" s="63"/>
      <c r="EP7" s="63"/>
      <c r="EQ7" s="63"/>
      <c r="ER7" s="63"/>
      <c r="ES7" s="64"/>
      <c r="ET7" s="64"/>
      <c r="EU7" s="64"/>
      <c r="EV7" s="64"/>
      <c r="EW7" s="64"/>
      <c r="EX7" s="64"/>
      <c r="EY7" s="64"/>
      <c r="EZ7" s="63"/>
      <c r="FA7" s="63"/>
      <c r="FB7" s="63"/>
      <c r="FC7" s="63"/>
      <c r="FD7" s="63"/>
      <c r="FE7" s="63"/>
      <c r="FF7" s="63"/>
      <c r="FG7" s="64"/>
      <c r="FH7" s="64"/>
      <c r="FI7" s="64"/>
      <c r="FJ7" s="64"/>
      <c r="FK7" s="64"/>
      <c r="FL7" s="64"/>
      <c r="FM7" s="64"/>
      <c r="FN7" s="63"/>
      <c r="FO7" s="63"/>
      <c r="FP7" s="63"/>
      <c r="FQ7" s="63"/>
      <c r="FR7" s="63"/>
      <c r="FS7" s="63"/>
      <c r="FT7" s="63"/>
      <c r="FU7" s="64"/>
      <c r="FV7" s="64"/>
      <c r="FW7" s="64"/>
      <c r="FX7" s="64"/>
      <c r="FY7" s="64"/>
      <c r="FZ7" s="64"/>
      <c r="GA7" s="64"/>
      <c r="GB7" s="63"/>
      <c r="GC7" s="63"/>
      <c r="GD7" s="63"/>
      <c r="GE7" s="63"/>
      <c r="GF7" s="63"/>
      <c r="GG7" s="63"/>
      <c r="GH7" s="63"/>
      <c r="GI7" s="64"/>
      <c r="GJ7" s="64"/>
      <c r="GK7" s="64"/>
      <c r="GL7" s="64"/>
      <c r="GM7" s="64"/>
      <c r="GN7" s="64"/>
      <c r="GO7" s="64"/>
      <c r="GP7" s="63"/>
      <c r="GQ7" s="63"/>
      <c r="GR7" s="63"/>
      <c r="GS7" s="63"/>
      <c r="GT7" s="63"/>
      <c r="GU7" s="63"/>
      <c r="GV7" s="63"/>
      <c r="GW7" s="64"/>
      <c r="GX7" s="64"/>
      <c r="GY7" s="64"/>
      <c r="GZ7" s="64"/>
      <c r="HA7" s="64"/>
      <c r="HB7" s="64"/>
      <c r="HC7" s="64"/>
      <c r="HD7" s="63"/>
      <c r="HE7" s="63"/>
      <c r="HF7" s="63"/>
      <c r="HG7" s="63"/>
      <c r="HH7" s="63"/>
      <c r="HI7" s="63"/>
      <c r="HJ7" s="63"/>
      <c r="HK7" s="65" t="n">
        <f aca="false">COUNTIF(B7:HJ7,"A")</f>
        <v>0</v>
      </c>
      <c r="HL7" s="66" t="n">
        <f aca="false">COUNTIF(B7:HJ7,"O")</f>
        <v>0</v>
      </c>
      <c r="HM7" s="67" t="n">
        <f aca="false">COUNTIF(B7:HJ7,"D")</f>
        <v>0</v>
      </c>
      <c r="HN7" s="68" t="n">
        <f aca="false">COUNTIF(B7:HJ7,"N/A")</f>
        <v>0</v>
      </c>
      <c r="HO7" s="69" t="n">
        <f aca="false">IFERROR((HK7+HL7)/(HK7+HL7+HM7),0)</f>
        <v>0</v>
      </c>
    </row>
    <row r="8" customFormat="false" ht="15.75" hidden="false" customHeight="true" outlineLevel="0" collapsed="false">
      <c r="A8" s="62" t="str">
        <f aca="false">Roster!B8</f>
        <v>Resident 4</v>
      </c>
      <c r="B8" s="63"/>
      <c r="C8" s="63"/>
      <c r="D8" s="63"/>
      <c r="E8" s="63"/>
      <c r="F8" s="63"/>
      <c r="G8" s="63"/>
      <c r="H8" s="63"/>
      <c r="I8" s="64"/>
      <c r="J8" s="64"/>
      <c r="K8" s="64"/>
      <c r="L8" s="64"/>
      <c r="M8" s="64"/>
      <c r="N8" s="64"/>
      <c r="O8" s="64"/>
      <c r="P8" s="63"/>
      <c r="Q8" s="63"/>
      <c r="R8" s="63"/>
      <c r="S8" s="63"/>
      <c r="T8" s="63"/>
      <c r="U8" s="63"/>
      <c r="V8" s="63"/>
      <c r="W8" s="64"/>
      <c r="X8" s="64"/>
      <c r="Y8" s="64"/>
      <c r="Z8" s="64"/>
      <c r="AA8" s="64"/>
      <c r="AB8" s="64"/>
      <c r="AC8" s="64"/>
      <c r="AD8" s="63"/>
      <c r="AE8" s="63"/>
      <c r="AF8" s="63"/>
      <c r="AG8" s="63"/>
      <c r="AH8" s="63"/>
      <c r="AI8" s="63"/>
      <c r="AJ8" s="63"/>
      <c r="AK8" s="64"/>
      <c r="AL8" s="64"/>
      <c r="AM8" s="64"/>
      <c r="AN8" s="64"/>
      <c r="AO8" s="64"/>
      <c r="AP8" s="64"/>
      <c r="AQ8" s="64"/>
      <c r="AR8" s="63"/>
      <c r="AS8" s="63"/>
      <c r="AT8" s="63"/>
      <c r="AU8" s="63"/>
      <c r="AV8" s="63"/>
      <c r="AW8" s="63"/>
      <c r="AX8" s="63"/>
      <c r="AY8" s="64"/>
      <c r="AZ8" s="64"/>
      <c r="BA8" s="64"/>
      <c r="BB8" s="64"/>
      <c r="BC8" s="64"/>
      <c r="BD8" s="64"/>
      <c r="BE8" s="64"/>
      <c r="BF8" s="63"/>
      <c r="BG8" s="63"/>
      <c r="BH8" s="63"/>
      <c r="BI8" s="63"/>
      <c r="BJ8" s="63"/>
      <c r="BK8" s="63"/>
      <c r="BL8" s="63"/>
      <c r="BM8" s="64"/>
      <c r="BN8" s="64"/>
      <c r="BO8" s="64"/>
      <c r="BP8" s="64"/>
      <c r="BQ8" s="64"/>
      <c r="BR8" s="64"/>
      <c r="BS8" s="64"/>
      <c r="BT8" s="63"/>
      <c r="BU8" s="63"/>
      <c r="BV8" s="63"/>
      <c r="BW8" s="63"/>
      <c r="BX8" s="63"/>
      <c r="BY8" s="63"/>
      <c r="BZ8" s="63"/>
      <c r="CA8" s="64"/>
      <c r="CB8" s="64"/>
      <c r="CC8" s="64"/>
      <c r="CD8" s="64"/>
      <c r="CE8" s="64"/>
      <c r="CF8" s="64"/>
      <c r="CG8" s="64"/>
      <c r="CH8" s="63"/>
      <c r="CI8" s="63"/>
      <c r="CJ8" s="63"/>
      <c r="CK8" s="63"/>
      <c r="CL8" s="63"/>
      <c r="CM8" s="63"/>
      <c r="CN8" s="63"/>
      <c r="CO8" s="64"/>
      <c r="CP8" s="64"/>
      <c r="CQ8" s="64"/>
      <c r="CR8" s="64"/>
      <c r="CS8" s="64"/>
      <c r="CT8" s="64"/>
      <c r="CU8" s="64"/>
      <c r="CV8" s="63"/>
      <c r="CW8" s="63"/>
      <c r="CX8" s="63"/>
      <c r="CY8" s="63"/>
      <c r="CZ8" s="63"/>
      <c r="DA8" s="63"/>
      <c r="DB8" s="63"/>
      <c r="DC8" s="64"/>
      <c r="DD8" s="64"/>
      <c r="DE8" s="64"/>
      <c r="DF8" s="64"/>
      <c r="DG8" s="64"/>
      <c r="DH8" s="64"/>
      <c r="DI8" s="64"/>
      <c r="DJ8" s="63"/>
      <c r="DK8" s="63"/>
      <c r="DL8" s="63"/>
      <c r="DM8" s="63"/>
      <c r="DN8" s="63"/>
      <c r="DO8" s="63"/>
      <c r="DP8" s="63"/>
      <c r="DQ8" s="64"/>
      <c r="DR8" s="64"/>
      <c r="DS8" s="64"/>
      <c r="DT8" s="64"/>
      <c r="DU8" s="64"/>
      <c r="DV8" s="64"/>
      <c r="DW8" s="64"/>
      <c r="DX8" s="63"/>
      <c r="DY8" s="63"/>
      <c r="DZ8" s="63"/>
      <c r="EA8" s="63"/>
      <c r="EB8" s="63"/>
      <c r="EC8" s="63"/>
      <c r="ED8" s="63"/>
      <c r="EE8" s="64"/>
      <c r="EF8" s="64"/>
      <c r="EG8" s="64"/>
      <c r="EH8" s="64"/>
      <c r="EI8" s="64"/>
      <c r="EJ8" s="64"/>
      <c r="EK8" s="64"/>
      <c r="EL8" s="63"/>
      <c r="EM8" s="63"/>
      <c r="EN8" s="63"/>
      <c r="EO8" s="63"/>
      <c r="EP8" s="63"/>
      <c r="EQ8" s="63"/>
      <c r="ER8" s="63"/>
      <c r="ES8" s="64"/>
      <c r="ET8" s="64"/>
      <c r="EU8" s="64"/>
      <c r="EV8" s="64"/>
      <c r="EW8" s="64"/>
      <c r="EX8" s="64"/>
      <c r="EY8" s="64"/>
      <c r="EZ8" s="63"/>
      <c r="FA8" s="63"/>
      <c r="FB8" s="63"/>
      <c r="FC8" s="63"/>
      <c r="FD8" s="63"/>
      <c r="FE8" s="63"/>
      <c r="FF8" s="63"/>
      <c r="FG8" s="64"/>
      <c r="FH8" s="64"/>
      <c r="FI8" s="64"/>
      <c r="FJ8" s="64"/>
      <c r="FK8" s="64"/>
      <c r="FL8" s="64"/>
      <c r="FM8" s="64"/>
      <c r="FN8" s="63"/>
      <c r="FO8" s="63"/>
      <c r="FP8" s="63"/>
      <c r="FQ8" s="63"/>
      <c r="FR8" s="63"/>
      <c r="FS8" s="63"/>
      <c r="FT8" s="63"/>
      <c r="FU8" s="64"/>
      <c r="FV8" s="64"/>
      <c r="FW8" s="64"/>
      <c r="FX8" s="64"/>
      <c r="FY8" s="64"/>
      <c r="FZ8" s="64"/>
      <c r="GA8" s="64"/>
      <c r="GB8" s="63"/>
      <c r="GC8" s="63"/>
      <c r="GD8" s="63"/>
      <c r="GE8" s="63"/>
      <c r="GF8" s="63"/>
      <c r="GG8" s="63"/>
      <c r="GH8" s="63"/>
      <c r="GI8" s="64"/>
      <c r="GJ8" s="64"/>
      <c r="GK8" s="64"/>
      <c r="GL8" s="64"/>
      <c r="GM8" s="64"/>
      <c r="GN8" s="64"/>
      <c r="GO8" s="64"/>
      <c r="GP8" s="63"/>
      <c r="GQ8" s="63"/>
      <c r="GR8" s="63"/>
      <c r="GS8" s="63"/>
      <c r="GT8" s="63"/>
      <c r="GU8" s="63"/>
      <c r="GV8" s="63"/>
      <c r="GW8" s="64"/>
      <c r="GX8" s="64"/>
      <c r="GY8" s="64"/>
      <c r="GZ8" s="64"/>
      <c r="HA8" s="64"/>
      <c r="HB8" s="64"/>
      <c r="HC8" s="64"/>
      <c r="HD8" s="63"/>
      <c r="HE8" s="63"/>
      <c r="HF8" s="63"/>
      <c r="HG8" s="63"/>
      <c r="HH8" s="63"/>
      <c r="HI8" s="63"/>
      <c r="HJ8" s="63"/>
      <c r="HK8" s="65" t="n">
        <f aca="false">COUNTIF(B8:HJ8,"A")</f>
        <v>0</v>
      </c>
      <c r="HL8" s="66" t="n">
        <f aca="false">COUNTIF(B8:HJ8,"O")</f>
        <v>0</v>
      </c>
      <c r="HM8" s="67" t="n">
        <f aca="false">COUNTIF(B8:HJ8,"D")</f>
        <v>0</v>
      </c>
      <c r="HN8" s="68" t="n">
        <f aca="false">COUNTIF(B8:HJ8,"N/A")</f>
        <v>0</v>
      </c>
      <c r="HO8" s="69" t="n">
        <f aca="false">IFERROR((HK8+HL8)/(HK8+HL8+HM8),0)</f>
        <v>0</v>
      </c>
    </row>
    <row r="9" customFormat="false" ht="15.75" hidden="false" customHeight="true" outlineLevel="0" collapsed="false">
      <c r="A9" s="62" t="str">
        <f aca="false">Roster!B9</f>
        <v>Resident 5</v>
      </c>
      <c r="B9" s="63"/>
      <c r="C9" s="63"/>
      <c r="D9" s="63"/>
      <c r="E9" s="63"/>
      <c r="F9" s="63"/>
      <c r="G9" s="63"/>
      <c r="H9" s="63"/>
      <c r="I9" s="64"/>
      <c r="J9" s="64"/>
      <c r="K9" s="64"/>
      <c r="L9" s="64"/>
      <c r="M9" s="64"/>
      <c r="N9" s="64"/>
      <c r="O9" s="64"/>
      <c r="P9" s="63"/>
      <c r="Q9" s="63"/>
      <c r="R9" s="63"/>
      <c r="S9" s="63"/>
      <c r="T9" s="63"/>
      <c r="U9" s="63"/>
      <c r="V9" s="63"/>
      <c r="W9" s="64"/>
      <c r="X9" s="64"/>
      <c r="Y9" s="64"/>
      <c r="Z9" s="64"/>
      <c r="AA9" s="64"/>
      <c r="AB9" s="64"/>
      <c r="AC9" s="64"/>
      <c r="AD9" s="63"/>
      <c r="AE9" s="63"/>
      <c r="AF9" s="63"/>
      <c r="AG9" s="63"/>
      <c r="AH9" s="63"/>
      <c r="AI9" s="63"/>
      <c r="AJ9" s="63"/>
      <c r="AK9" s="64"/>
      <c r="AL9" s="64"/>
      <c r="AM9" s="64"/>
      <c r="AN9" s="64"/>
      <c r="AO9" s="64"/>
      <c r="AP9" s="64"/>
      <c r="AQ9" s="64"/>
      <c r="AR9" s="63"/>
      <c r="AS9" s="63"/>
      <c r="AT9" s="63"/>
      <c r="AU9" s="63"/>
      <c r="AV9" s="63"/>
      <c r="AW9" s="63"/>
      <c r="AX9" s="63"/>
      <c r="AY9" s="64"/>
      <c r="AZ9" s="64"/>
      <c r="BA9" s="64"/>
      <c r="BB9" s="64"/>
      <c r="BC9" s="64"/>
      <c r="BD9" s="64"/>
      <c r="BE9" s="64"/>
      <c r="BF9" s="63"/>
      <c r="BG9" s="63"/>
      <c r="BH9" s="63"/>
      <c r="BI9" s="63"/>
      <c r="BJ9" s="63"/>
      <c r="BK9" s="63"/>
      <c r="BL9" s="63"/>
      <c r="BM9" s="64"/>
      <c r="BN9" s="64"/>
      <c r="BO9" s="64"/>
      <c r="BP9" s="64"/>
      <c r="BQ9" s="64"/>
      <c r="BR9" s="64"/>
      <c r="BS9" s="64"/>
      <c r="BT9" s="63"/>
      <c r="BU9" s="63"/>
      <c r="BV9" s="63"/>
      <c r="BW9" s="63"/>
      <c r="BX9" s="63"/>
      <c r="BY9" s="63"/>
      <c r="BZ9" s="63"/>
      <c r="CA9" s="64"/>
      <c r="CB9" s="64"/>
      <c r="CC9" s="64"/>
      <c r="CD9" s="64"/>
      <c r="CE9" s="64"/>
      <c r="CF9" s="64"/>
      <c r="CG9" s="64"/>
      <c r="CH9" s="63"/>
      <c r="CI9" s="63"/>
      <c r="CJ9" s="63"/>
      <c r="CK9" s="63"/>
      <c r="CL9" s="63"/>
      <c r="CM9" s="63"/>
      <c r="CN9" s="63"/>
      <c r="CO9" s="64"/>
      <c r="CP9" s="64"/>
      <c r="CQ9" s="64"/>
      <c r="CR9" s="64"/>
      <c r="CS9" s="64"/>
      <c r="CT9" s="64"/>
      <c r="CU9" s="64"/>
      <c r="CV9" s="63"/>
      <c r="CW9" s="63"/>
      <c r="CX9" s="63"/>
      <c r="CY9" s="63"/>
      <c r="CZ9" s="63"/>
      <c r="DA9" s="63"/>
      <c r="DB9" s="63"/>
      <c r="DC9" s="64"/>
      <c r="DD9" s="64"/>
      <c r="DE9" s="64"/>
      <c r="DF9" s="64"/>
      <c r="DG9" s="64"/>
      <c r="DH9" s="64"/>
      <c r="DI9" s="64"/>
      <c r="DJ9" s="63"/>
      <c r="DK9" s="63"/>
      <c r="DL9" s="63"/>
      <c r="DM9" s="63"/>
      <c r="DN9" s="63"/>
      <c r="DO9" s="63"/>
      <c r="DP9" s="63"/>
      <c r="DQ9" s="64"/>
      <c r="DR9" s="64"/>
      <c r="DS9" s="64"/>
      <c r="DT9" s="64"/>
      <c r="DU9" s="64"/>
      <c r="DV9" s="64"/>
      <c r="DW9" s="64"/>
      <c r="DX9" s="63"/>
      <c r="DY9" s="63"/>
      <c r="DZ9" s="63"/>
      <c r="EA9" s="63"/>
      <c r="EB9" s="63"/>
      <c r="EC9" s="63"/>
      <c r="ED9" s="63"/>
      <c r="EE9" s="64"/>
      <c r="EF9" s="64"/>
      <c r="EG9" s="64"/>
      <c r="EH9" s="64"/>
      <c r="EI9" s="64"/>
      <c r="EJ9" s="64"/>
      <c r="EK9" s="64"/>
      <c r="EL9" s="63"/>
      <c r="EM9" s="63"/>
      <c r="EN9" s="63"/>
      <c r="EO9" s="63"/>
      <c r="EP9" s="63"/>
      <c r="EQ9" s="63"/>
      <c r="ER9" s="63"/>
      <c r="ES9" s="64"/>
      <c r="ET9" s="64"/>
      <c r="EU9" s="64"/>
      <c r="EV9" s="64"/>
      <c r="EW9" s="64"/>
      <c r="EX9" s="64"/>
      <c r="EY9" s="64"/>
      <c r="EZ9" s="63"/>
      <c r="FA9" s="63"/>
      <c r="FB9" s="63"/>
      <c r="FC9" s="63"/>
      <c r="FD9" s="63"/>
      <c r="FE9" s="63"/>
      <c r="FF9" s="63"/>
      <c r="FG9" s="64"/>
      <c r="FH9" s="64"/>
      <c r="FI9" s="64"/>
      <c r="FJ9" s="64"/>
      <c r="FK9" s="64"/>
      <c r="FL9" s="64"/>
      <c r="FM9" s="64"/>
      <c r="FN9" s="63"/>
      <c r="FO9" s="63"/>
      <c r="FP9" s="63"/>
      <c r="FQ9" s="63"/>
      <c r="FR9" s="63"/>
      <c r="FS9" s="63"/>
      <c r="FT9" s="63"/>
      <c r="FU9" s="64"/>
      <c r="FV9" s="64"/>
      <c r="FW9" s="64"/>
      <c r="FX9" s="64"/>
      <c r="FY9" s="64"/>
      <c r="FZ9" s="64"/>
      <c r="GA9" s="64"/>
      <c r="GB9" s="63"/>
      <c r="GC9" s="63"/>
      <c r="GD9" s="63"/>
      <c r="GE9" s="63"/>
      <c r="GF9" s="63"/>
      <c r="GG9" s="63"/>
      <c r="GH9" s="63"/>
      <c r="GI9" s="64"/>
      <c r="GJ9" s="64"/>
      <c r="GK9" s="64"/>
      <c r="GL9" s="64"/>
      <c r="GM9" s="64"/>
      <c r="GN9" s="64"/>
      <c r="GO9" s="64"/>
      <c r="GP9" s="63"/>
      <c r="GQ9" s="63"/>
      <c r="GR9" s="63"/>
      <c r="GS9" s="63"/>
      <c r="GT9" s="63"/>
      <c r="GU9" s="63"/>
      <c r="GV9" s="63"/>
      <c r="GW9" s="64"/>
      <c r="GX9" s="64"/>
      <c r="GY9" s="64"/>
      <c r="GZ9" s="64"/>
      <c r="HA9" s="64"/>
      <c r="HB9" s="64"/>
      <c r="HC9" s="64"/>
      <c r="HD9" s="63"/>
      <c r="HE9" s="63"/>
      <c r="HF9" s="63"/>
      <c r="HG9" s="63"/>
      <c r="HH9" s="63"/>
      <c r="HI9" s="63"/>
      <c r="HJ9" s="63"/>
      <c r="HK9" s="65" t="n">
        <f aca="false">COUNTIF(B9:HJ9,"A")</f>
        <v>0</v>
      </c>
      <c r="HL9" s="66" t="n">
        <f aca="false">COUNTIF(B9:HJ9,"O")</f>
        <v>0</v>
      </c>
      <c r="HM9" s="67" t="n">
        <f aca="false">COUNTIF(B9:HJ9,"D")</f>
        <v>0</v>
      </c>
      <c r="HN9" s="68" t="n">
        <f aca="false">COUNTIF(B9:HJ9,"N/A")</f>
        <v>0</v>
      </c>
      <c r="HO9" s="69" t="n">
        <f aca="false">IFERROR((HK9+HL9)/(HK9+HL9+HM9),0)</f>
        <v>0</v>
      </c>
    </row>
    <row r="10" customFormat="false" ht="15.75" hidden="false" customHeight="true" outlineLevel="0" collapsed="false">
      <c r="A10" s="62" t="str">
        <f aca="false">Roster!B10</f>
        <v>Resident 6</v>
      </c>
      <c r="B10" s="63"/>
      <c r="C10" s="63"/>
      <c r="D10" s="63"/>
      <c r="E10" s="63"/>
      <c r="F10" s="63"/>
      <c r="G10" s="63"/>
      <c r="H10" s="63"/>
      <c r="I10" s="64"/>
      <c r="J10" s="64"/>
      <c r="K10" s="64"/>
      <c r="L10" s="64"/>
      <c r="M10" s="64"/>
      <c r="N10" s="64"/>
      <c r="O10" s="64"/>
      <c r="P10" s="63"/>
      <c r="Q10" s="63"/>
      <c r="R10" s="63"/>
      <c r="S10" s="63"/>
      <c r="T10" s="63"/>
      <c r="U10" s="63"/>
      <c r="V10" s="63"/>
      <c r="W10" s="64"/>
      <c r="X10" s="64"/>
      <c r="Y10" s="64"/>
      <c r="Z10" s="64"/>
      <c r="AA10" s="64"/>
      <c r="AB10" s="64"/>
      <c r="AC10" s="64"/>
      <c r="AD10" s="63"/>
      <c r="AE10" s="63"/>
      <c r="AF10" s="63"/>
      <c r="AG10" s="63"/>
      <c r="AH10" s="63"/>
      <c r="AI10" s="63"/>
      <c r="AJ10" s="63"/>
      <c r="AK10" s="64"/>
      <c r="AL10" s="64"/>
      <c r="AM10" s="64"/>
      <c r="AN10" s="64"/>
      <c r="AO10" s="64"/>
      <c r="AP10" s="64"/>
      <c r="AQ10" s="64"/>
      <c r="AR10" s="63"/>
      <c r="AS10" s="63"/>
      <c r="AT10" s="63"/>
      <c r="AU10" s="63"/>
      <c r="AV10" s="63"/>
      <c r="AW10" s="63"/>
      <c r="AX10" s="63"/>
      <c r="AY10" s="64"/>
      <c r="AZ10" s="64"/>
      <c r="BA10" s="64"/>
      <c r="BB10" s="64"/>
      <c r="BC10" s="64"/>
      <c r="BD10" s="64"/>
      <c r="BE10" s="64"/>
      <c r="BF10" s="63"/>
      <c r="BG10" s="63"/>
      <c r="BH10" s="63"/>
      <c r="BI10" s="63"/>
      <c r="BJ10" s="63"/>
      <c r="BK10" s="63"/>
      <c r="BL10" s="63"/>
      <c r="BM10" s="64"/>
      <c r="BN10" s="64"/>
      <c r="BO10" s="64"/>
      <c r="BP10" s="64"/>
      <c r="BQ10" s="64"/>
      <c r="BR10" s="64"/>
      <c r="BS10" s="64"/>
      <c r="BT10" s="63"/>
      <c r="BU10" s="63"/>
      <c r="BV10" s="63"/>
      <c r="BW10" s="63"/>
      <c r="BX10" s="63"/>
      <c r="BY10" s="63"/>
      <c r="BZ10" s="63"/>
      <c r="CA10" s="64"/>
      <c r="CB10" s="64"/>
      <c r="CC10" s="64"/>
      <c r="CD10" s="64"/>
      <c r="CE10" s="64"/>
      <c r="CF10" s="64"/>
      <c r="CG10" s="64"/>
      <c r="CH10" s="63"/>
      <c r="CI10" s="63"/>
      <c r="CJ10" s="63"/>
      <c r="CK10" s="63"/>
      <c r="CL10" s="63"/>
      <c r="CM10" s="63"/>
      <c r="CN10" s="63"/>
      <c r="CO10" s="64"/>
      <c r="CP10" s="64"/>
      <c r="CQ10" s="64"/>
      <c r="CR10" s="64"/>
      <c r="CS10" s="64"/>
      <c r="CT10" s="64"/>
      <c r="CU10" s="64"/>
      <c r="CV10" s="63"/>
      <c r="CW10" s="63"/>
      <c r="CX10" s="63"/>
      <c r="CY10" s="63"/>
      <c r="CZ10" s="63"/>
      <c r="DA10" s="63"/>
      <c r="DB10" s="63"/>
      <c r="DC10" s="64"/>
      <c r="DD10" s="64"/>
      <c r="DE10" s="64"/>
      <c r="DF10" s="64"/>
      <c r="DG10" s="64"/>
      <c r="DH10" s="64"/>
      <c r="DI10" s="64"/>
      <c r="DJ10" s="63"/>
      <c r="DK10" s="63"/>
      <c r="DL10" s="63"/>
      <c r="DM10" s="63"/>
      <c r="DN10" s="63"/>
      <c r="DO10" s="63"/>
      <c r="DP10" s="63"/>
      <c r="DQ10" s="64"/>
      <c r="DR10" s="64"/>
      <c r="DS10" s="64"/>
      <c r="DT10" s="64"/>
      <c r="DU10" s="64"/>
      <c r="DV10" s="64"/>
      <c r="DW10" s="64"/>
      <c r="DX10" s="63"/>
      <c r="DY10" s="63"/>
      <c r="DZ10" s="63"/>
      <c r="EA10" s="63"/>
      <c r="EB10" s="63"/>
      <c r="EC10" s="63"/>
      <c r="ED10" s="63"/>
      <c r="EE10" s="64"/>
      <c r="EF10" s="64"/>
      <c r="EG10" s="64"/>
      <c r="EH10" s="64"/>
      <c r="EI10" s="64"/>
      <c r="EJ10" s="64"/>
      <c r="EK10" s="64"/>
      <c r="EL10" s="63"/>
      <c r="EM10" s="63"/>
      <c r="EN10" s="63"/>
      <c r="EO10" s="63"/>
      <c r="EP10" s="63"/>
      <c r="EQ10" s="63"/>
      <c r="ER10" s="63"/>
      <c r="ES10" s="64"/>
      <c r="ET10" s="64"/>
      <c r="EU10" s="64"/>
      <c r="EV10" s="64"/>
      <c r="EW10" s="64"/>
      <c r="EX10" s="64"/>
      <c r="EY10" s="64"/>
      <c r="EZ10" s="63"/>
      <c r="FA10" s="63"/>
      <c r="FB10" s="63"/>
      <c r="FC10" s="63"/>
      <c r="FD10" s="63"/>
      <c r="FE10" s="63"/>
      <c r="FF10" s="63"/>
      <c r="FG10" s="64"/>
      <c r="FH10" s="64"/>
      <c r="FI10" s="64"/>
      <c r="FJ10" s="64"/>
      <c r="FK10" s="64"/>
      <c r="FL10" s="64"/>
      <c r="FM10" s="64"/>
      <c r="FN10" s="63"/>
      <c r="FO10" s="63"/>
      <c r="FP10" s="63"/>
      <c r="FQ10" s="63"/>
      <c r="FR10" s="63"/>
      <c r="FS10" s="63"/>
      <c r="FT10" s="63"/>
      <c r="FU10" s="64"/>
      <c r="FV10" s="64"/>
      <c r="FW10" s="64"/>
      <c r="FX10" s="64"/>
      <c r="FY10" s="64"/>
      <c r="FZ10" s="64"/>
      <c r="GA10" s="64"/>
      <c r="GB10" s="63"/>
      <c r="GC10" s="63"/>
      <c r="GD10" s="63"/>
      <c r="GE10" s="63"/>
      <c r="GF10" s="63"/>
      <c r="GG10" s="63"/>
      <c r="GH10" s="63"/>
      <c r="GI10" s="64"/>
      <c r="GJ10" s="64"/>
      <c r="GK10" s="64"/>
      <c r="GL10" s="64"/>
      <c r="GM10" s="64"/>
      <c r="GN10" s="64"/>
      <c r="GO10" s="64"/>
      <c r="GP10" s="63"/>
      <c r="GQ10" s="63"/>
      <c r="GR10" s="63"/>
      <c r="GS10" s="63"/>
      <c r="GT10" s="63"/>
      <c r="GU10" s="63"/>
      <c r="GV10" s="63"/>
      <c r="GW10" s="64"/>
      <c r="GX10" s="64"/>
      <c r="GY10" s="64"/>
      <c r="GZ10" s="64"/>
      <c r="HA10" s="64"/>
      <c r="HB10" s="64"/>
      <c r="HC10" s="64"/>
      <c r="HD10" s="63"/>
      <c r="HE10" s="63"/>
      <c r="HF10" s="63"/>
      <c r="HG10" s="63"/>
      <c r="HH10" s="63"/>
      <c r="HI10" s="63"/>
      <c r="HJ10" s="63"/>
      <c r="HK10" s="65" t="n">
        <f aca="false">COUNTIF(B10:HJ10,"A")</f>
        <v>0</v>
      </c>
      <c r="HL10" s="66" t="n">
        <f aca="false">COUNTIF(B10:HJ10,"O")</f>
        <v>0</v>
      </c>
      <c r="HM10" s="67" t="n">
        <f aca="false">COUNTIF(B10:HJ10,"D")</f>
        <v>0</v>
      </c>
      <c r="HN10" s="68" t="n">
        <f aca="false">COUNTIF(B10:HJ10,"N/A")</f>
        <v>0</v>
      </c>
      <c r="HO10" s="69" t="n">
        <f aca="false">IFERROR((HK10+HL10)/(HK10+HL10+HM10),0)</f>
        <v>0</v>
      </c>
    </row>
    <row r="11" customFormat="false" ht="15.75" hidden="false" customHeight="true" outlineLevel="0" collapsed="false">
      <c r="A11" s="62" t="str">
        <f aca="false">Roster!B11</f>
        <v>Resident 7</v>
      </c>
      <c r="B11" s="63"/>
      <c r="C11" s="63"/>
      <c r="D11" s="63"/>
      <c r="E11" s="63"/>
      <c r="F11" s="63"/>
      <c r="G11" s="63"/>
      <c r="H11" s="63"/>
      <c r="I11" s="64"/>
      <c r="J11" s="64"/>
      <c r="K11" s="64"/>
      <c r="L11" s="64"/>
      <c r="M11" s="64"/>
      <c r="N11" s="64"/>
      <c r="O11" s="64"/>
      <c r="P11" s="63"/>
      <c r="Q11" s="63"/>
      <c r="R11" s="63"/>
      <c r="S11" s="63"/>
      <c r="T11" s="63"/>
      <c r="U11" s="63"/>
      <c r="V11" s="63"/>
      <c r="W11" s="64"/>
      <c r="X11" s="64"/>
      <c r="Y11" s="64"/>
      <c r="Z11" s="64"/>
      <c r="AA11" s="64"/>
      <c r="AB11" s="64"/>
      <c r="AC11" s="64"/>
      <c r="AD11" s="63"/>
      <c r="AE11" s="63"/>
      <c r="AF11" s="63"/>
      <c r="AG11" s="63"/>
      <c r="AH11" s="63"/>
      <c r="AI11" s="63"/>
      <c r="AJ11" s="63"/>
      <c r="AK11" s="64"/>
      <c r="AL11" s="64"/>
      <c r="AM11" s="64"/>
      <c r="AN11" s="64"/>
      <c r="AO11" s="64"/>
      <c r="AP11" s="64"/>
      <c r="AQ11" s="64"/>
      <c r="AR11" s="63"/>
      <c r="AS11" s="63"/>
      <c r="AT11" s="63"/>
      <c r="AU11" s="63"/>
      <c r="AV11" s="63"/>
      <c r="AW11" s="63"/>
      <c r="AX11" s="63"/>
      <c r="AY11" s="64"/>
      <c r="AZ11" s="64"/>
      <c r="BA11" s="64"/>
      <c r="BB11" s="64"/>
      <c r="BC11" s="64"/>
      <c r="BD11" s="64"/>
      <c r="BE11" s="64"/>
      <c r="BF11" s="63"/>
      <c r="BG11" s="63"/>
      <c r="BH11" s="63"/>
      <c r="BI11" s="63"/>
      <c r="BJ11" s="63"/>
      <c r="BK11" s="63"/>
      <c r="BL11" s="63"/>
      <c r="BM11" s="64"/>
      <c r="BN11" s="64"/>
      <c r="BO11" s="64"/>
      <c r="BP11" s="64"/>
      <c r="BQ11" s="64"/>
      <c r="BR11" s="64"/>
      <c r="BS11" s="64"/>
      <c r="BT11" s="63"/>
      <c r="BU11" s="63"/>
      <c r="BV11" s="63"/>
      <c r="BW11" s="63"/>
      <c r="BX11" s="63"/>
      <c r="BY11" s="63"/>
      <c r="BZ11" s="63"/>
      <c r="CA11" s="64"/>
      <c r="CB11" s="64"/>
      <c r="CC11" s="64"/>
      <c r="CD11" s="64"/>
      <c r="CE11" s="64"/>
      <c r="CF11" s="64"/>
      <c r="CG11" s="64"/>
      <c r="CH11" s="63"/>
      <c r="CI11" s="63"/>
      <c r="CJ11" s="63"/>
      <c r="CK11" s="63"/>
      <c r="CL11" s="63"/>
      <c r="CM11" s="63"/>
      <c r="CN11" s="63"/>
      <c r="CO11" s="64"/>
      <c r="CP11" s="64"/>
      <c r="CQ11" s="64"/>
      <c r="CR11" s="64"/>
      <c r="CS11" s="64"/>
      <c r="CT11" s="64"/>
      <c r="CU11" s="64"/>
      <c r="CV11" s="63"/>
      <c r="CW11" s="63"/>
      <c r="CX11" s="63"/>
      <c r="CY11" s="63"/>
      <c r="CZ11" s="63"/>
      <c r="DA11" s="63"/>
      <c r="DB11" s="63"/>
      <c r="DC11" s="64"/>
      <c r="DD11" s="64"/>
      <c r="DE11" s="64"/>
      <c r="DF11" s="64"/>
      <c r="DG11" s="64"/>
      <c r="DH11" s="64"/>
      <c r="DI11" s="64"/>
      <c r="DJ11" s="63"/>
      <c r="DK11" s="63"/>
      <c r="DL11" s="63"/>
      <c r="DM11" s="63"/>
      <c r="DN11" s="63"/>
      <c r="DO11" s="63"/>
      <c r="DP11" s="63"/>
      <c r="DQ11" s="64"/>
      <c r="DR11" s="64"/>
      <c r="DS11" s="64"/>
      <c r="DT11" s="64"/>
      <c r="DU11" s="64"/>
      <c r="DV11" s="64"/>
      <c r="DW11" s="64"/>
      <c r="DX11" s="63"/>
      <c r="DY11" s="63"/>
      <c r="DZ11" s="63"/>
      <c r="EA11" s="63"/>
      <c r="EB11" s="63"/>
      <c r="EC11" s="63"/>
      <c r="ED11" s="63"/>
      <c r="EE11" s="64"/>
      <c r="EF11" s="64"/>
      <c r="EG11" s="64"/>
      <c r="EH11" s="64"/>
      <c r="EI11" s="64"/>
      <c r="EJ11" s="64"/>
      <c r="EK11" s="64"/>
      <c r="EL11" s="63"/>
      <c r="EM11" s="63"/>
      <c r="EN11" s="63"/>
      <c r="EO11" s="63"/>
      <c r="EP11" s="63"/>
      <c r="EQ11" s="63"/>
      <c r="ER11" s="63"/>
      <c r="ES11" s="64"/>
      <c r="ET11" s="64"/>
      <c r="EU11" s="64"/>
      <c r="EV11" s="64"/>
      <c r="EW11" s="64"/>
      <c r="EX11" s="64"/>
      <c r="EY11" s="64"/>
      <c r="EZ11" s="63"/>
      <c r="FA11" s="63"/>
      <c r="FB11" s="63"/>
      <c r="FC11" s="63"/>
      <c r="FD11" s="63"/>
      <c r="FE11" s="63"/>
      <c r="FF11" s="63"/>
      <c r="FG11" s="64"/>
      <c r="FH11" s="64"/>
      <c r="FI11" s="64"/>
      <c r="FJ11" s="64"/>
      <c r="FK11" s="64"/>
      <c r="FL11" s="64"/>
      <c r="FM11" s="64"/>
      <c r="FN11" s="63"/>
      <c r="FO11" s="63"/>
      <c r="FP11" s="63"/>
      <c r="FQ11" s="63"/>
      <c r="FR11" s="63"/>
      <c r="FS11" s="63"/>
      <c r="FT11" s="63"/>
      <c r="FU11" s="64"/>
      <c r="FV11" s="64"/>
      <c r="FW11" s="64"/>
      <c r="FX11" s="64"/>
      <c r="FY11" s="64"/>
      <c r="FZ11" s="64"/>
      <c r="GA11" s="64"/>
      <c r="GB11" s="63"/>
      <c r="GC11" s="63"/>
      <c r="GD11" s="63"/>
      <c r="GE11" s="63"/>
      <c r="GF11" s="63"/>
      <c r="GG11" s="63"/>
      <c r="GH11" s="63"/>
      <c r="GI11" s="64"/>
      <c r="GJ11" s="64"/>
      <c r="GK11" s="64"/>
      <c r="GL11" s="64"/>
      <c r="GM11" s="64"/>
      <c r="GN11" s="64"/>
      <c r="GO11" s="64"/>
      <c r="GP11" s="63"/>
      <c r="GQ11" s="63"/>
      <c r="GR11" s="63"/>
      <c r="GS11" s="63"/>
      <c r="GT11" s="63"/>
      <c r="GU11" s="63"/>
      <c r="GV11" s="63"/>
      <c r="GW11" s="64"/>
      <c r="GX11" s="64"/>
      <c r="GY11" s="64"/>
      <c r="GZ11" s="64"/>
      <c r="HA11" s="64"/>
      <c r="HB11" s="64"/>
      <c r="HC11" s="64"/>
      <c r="HD11" s="63"/>
      <c r="HE11" s="63"/>
      <c r="HF11" s="63"/>
      <c r="HG11" s="63"/>
      <c r="HH11" s="63"/>
      <c r="HI11" s="63"/>
      <c r="HJ11" s="63"/>
      <c r="HK11" s="65" t="n">
        <f aca="false">COUNTIF(B11:HJ11,"A")</f>
        <v>0</v>
      </c>
      <c r="HL11" s="66" t="n">
        <f aca="false">COUNTIF(B11:HJ11,"O")</f>
        <v>0</v>
      </c>
      <c r="HM11" s="67" t="n">
        <f aca="false">COUNTIF(B11:HJ11,"D")</f>
        <v>0</v>
      </c>
      <c r="HN11" s="68" t="n">
        <f aca="false">COUNTIF(B11:HJ11,"N/A")</f>
        <v>0</v>
      </c>
      <c r="HO11" s="69" t="n">
        <f aca="false">IFERROR((HK11+HL11)/(HK11+HL11+HM11),0)</f>
        <v>0</v>
      </c>
    </row>
    <row r="12" customFormat="false" ht="15.75" hidden="false" customHeight="true" outlineLevel="0" collapsed="false">
      <c r="A12" s="62" t="str">
        <f aca="false">Roster!B12</f>
        <v>Resident 8</v>
      </c>
      <c r="B12" s="63"/>
      <c r="C12" s="63"/>
      <c r="D12" s="63"/>
      <c r="E12" s="63"/>
      <c r="F12" s="63"/>
      <c r="G12" s="63"/>
      <c r="H12" s="63"/>
      <c r="I12" s="64"/>
      <c r="J12" s="64"/>
      <c r="K12" s="64"/>
      <c r="L12" s="64"/>
      <c r="M12" s="64"/>
      <c r="N12" s="64"/>
      <c r="O12" s="64"/>
      <c r="P12" s="63"/>
      <c r="Q12" s="63"/>
      <c r="R12" s="63"/>
      <c r="S12" s="63"/>
      <c r="T12" s="63"/>
      <c r="U12" s="63"/>
      <c r="V12" s="63"/>
      <c r="W12" s="64"/>
      <c r="X12" s="64"/>
      <c r="Y12" s="64"/>
      <c r="Z12" s="64"/>
      <c r="AA12" s="64"/>
      <c r="AB12" s="64"/>
      <c r="AC12" s="64"/>
      <c r="AD12" s="63"/>
      <c r="AE12" s="63"/>
      <c r="AF12" s="63"/>
      <c r="AG12" s="63"/>
      <c r="AH12" s="63"/>
      <c r="AI12" s="63"/>
      <c r="AJ12" s="63"/>
      <c r="AK12" s="64"/>
      <c r="AL12" s="64"/>
      <c r="AM12" s="64"/>
      <c r="AN12" s="64"/>
      <c r="AO12" s="64"/>
      <c r="AP12" s="64"/>
      <c r="AQ12" s="64"/>
      <c r="AR12" s="63"/>
      <c r="AS12" s="63"/>
      <c r="AT12" s="63"/>
      <c r="AU12" s="63"/>
      <c r="AV12" s="63"/>
      <c r="AW12" s="63"/>
      <c r="AX12" s="63"/>
      <c r="AY12" s="64"/>
      <c r="AZ12" s="64"/>
      <c r="BA12" s="64"/>
      <c r="BB12" s="64"/>
      <c r="BC12" s="64"/>
      <c r="BD12" s="64"/>
      <c r="BE12" s="64"/>
      <c r="BF12" s="63"/>
      <c r="BG12" s="63"/>
      <c r="BH12" s="63"/>
      <c r="BI12" s="63"/>
      <c r="BJ12" s="63"/>
      <c r="BK12" s="63"/>
      <c r="BL12" s="63"/>
      <c r="BM12" s="64"/>
      <c r="BN12" s="64"/>
      <c r="BO12" s="64"/>
      <c r="BP12" s="64"/>
      <c r="BQ12" s="64"/>
      <c r="BR12" s="64"/>
      <c r="BS12" s="64"/>
      <c r="BT12" s="63"/>
      <c r="BU12" s="63"/>
      <c r="BV12" s="63"/>
      <c r="BW12" s="63"/>
      <c r="BX12" s="63"/>
      <c r="BY12" s="63"/>
      <c r="BZ12" s="63"/>
      <c r="CA12" s="64"/>
      <c r="CB12" s="64"/>
      <c r="CC12" s="64"/>
      <c r="CD12" s="64"/>
      <c r="CE12" s="64"/>
      <c r="CF12" s="64"/>
      <c r="CG12" s="64"/>
      <c r="CH12" s="63"/>
      <c r="CI12" s="63"/>
      <c r="CJ12" s="63"/>
      <c r="CK12" s="63"/>
      <c r="CL12" s="63"/>
      <c r="CM12" s="63"/>
      <c r="CN12" s="63"/>
      <c r="CO12" s="64"/>
      <c r="CP12" s="64"/>
      <c r="CQ12" s="64"/>
      <c r="CR12" s="64"/>
      <c r="CS12" s="64"/>
      <c r="CT12" s="64"/>
      <c r="CU12" s="64"/>
      <c r="CV12" s="63"/>
      <c r="CW12" s="63"/>
      <c r="CX12" s="63"/>
      <c r="CY12" s="63"/>
      <c r="CZ12" s="63"/>
      <c r="DA12" s="63"/>
      <c r="DB12" s="63"/>
      <c r="DC12" s="64"/>
      <c r="DD12" s="64"/>
      <c r="DE12" s="64"/>
      <c r="DF12" s="64"/>
      <c r="DG12" s="64"/>
      <c r="DH12" s="64"/>
      <c r="DI12" s="64"/>
      <c r="DJ12" s="63"/>
      <c r="DK12" s="63"/>
      <c r="DL12" s="63"/>
      <c r="DM12" s="63"/>
      <c r="DN12" s="63"/>
      <c r="DO12" s="63"/>
      <c r="DP12" s="63"/>
      <c r="DQ12" s="64"/>
      <c r="DR12" s="64"/>
      <c r="DS12" s="64"/>
      <c r="DT12" s="64"/>
      <c r="DU12" s="64"/>
      <c r="DV12" s="64"/>
      <c r="DW12" s="64"/>
      <c r="DX12" s="63"/>
      <c r="DY12" s="63"/>
      <c r="DZ12" s="63"/>
      <c r="EA12" s="63"/>
      <c r="EB12" s="63"/>
      <c r="EC12" s="63"/>
      <c r="ED12" s="63"/>
      <c r="EE12" s="64"/>
      <c r="EF12" s="64"/>
      <c r="EG12" s="64"/>
      <c r="EH12" s="64"/>
      <c r="EI12" s="64"/>
      <c r="EJ12" s="64"/>
      <c r="EK12" s="64"/>
      <c r="EL12" s="63"/>
      <c r="EM12" s="63"/>
      <c r="EN12" s="63"/>
      <c r="EO12" s="63"/>
      <c r="EP12" s="63"/>
      <c r="EQ12" s="63"/>
      <c r="ER12" s="63"/>
      <c r="ES12" s="64"/>
      <c r="ET12" s="64"/>
      <c r="EU12" s="64"/>
      <c r="EV12" s="64"/>
      <c r="EW12" s="64"/>
      <c r="EX12" s="64"/>
      <c r="EY12" s="64"/>
      <c r="EZ12" s="63"/>
      <c r="FA12" s="63"/>
      <c r="FB12" s="63"/>
      <c r="FC12" s="63"/>
      <c r="FD12" s="63"/>
      <c r="FE12" s="63"/>
      <c r="FF12" s="63"/>
      <c r="FG12" s="64"/>
      <c r="FH12" s="64"/>
      <c r="FI12" s="64"/>
      <c r="FJ12" s="64"/>
      <c r="FK12" s="64"/>
      <c r="FL12" s="64"/>
      <c r="FM12" s="64"/>
      <c r="FN12" s="63"/>
      <c r="FO12" s="63"/>
      <c r="FP12" s="63"/>
      <c r="FQ12" s="63"/>
      <c r="FR12" s="63"/>
      <c r="FS12" s="63"/>
      <c r="FT12" s="63"/>
      <c r="FU12" s="64"/>
      <c r="FV12" s="64"/>
      <c r="FW12" s="64"/>
      <c r="FX12" s="64"/>
      <c r="FY12" s="64"/>
      <c r="FZ12" s="64"/>
      <c r="GA12" s="64"/>
      <c r="GB12" s="63"/>
      <c r="GC12" s="63"/>
      <c r="GD12" s="63"/>
      <c r="GE12" s="63"/>
      <c r="GF12" s="63"/>
      <c r="GG12" s="63"/>
      <c r="GH12" s="63"/>
      <c r="GI12" s="64"/>
      <c r="GJ12" s="64"/>
      <c r="GK12" s="64"/>
      <c r="GL12" s="64"/>
      <c r="GM12" s="64"/>
      <c r="GN12" s="64"/>
      <c r="GO12" s="64"/>
      <c r="GP12" s="63"/>
      <c r="GQ12" s="63"/>
      <c r="GR12" s="63"/>
      <c r="GS12" s="63"/>
      <c r="GT12" s="63"/>
      <c r="GU12" s="63"/>
      <c r="GV12" s="63"/>
      <c r="GW12" s="64"/>
      <c r="GX12" s="64"/>
      <c r="GY12" s="64"/>
      <c r="GZ12" s="64"/>
      <c r="HA12" s="64"/>
      <c r="HB12" s="64"/>
      <c r="HC12" s="64"/>
      <c r="HD12" s="63"/>
      <c r="HE12" s="63"/>
      <c r="HF12" s="63"/>
      <c r="HG12" s="63"/>
      <c r="HH12" s="63"/>
      <c r="HI12" s="63"/>
      <c r="HJ12" s="63"/>
      <c r="HK12" s="65" t="n">
        <f aca="false">COUNTIF(B12:HJ12,"A")</f>
        <v>0</v>
      </c>
      <c r="HL12" s="66" t="n">
        <f aca="false">COUNTIF(B12:HJ12,"O")</f>
        <v>0</v>
      </c>
      <c r="HM12" s="67" t="n">
        <f aca="false">COUNTIF(B12:HJ12,"D")</f>
        <v>0</v>
      </c>
      <c r="HN12" s="68" t="n">
        <f aca="false">COUNTIF(B12:HJ12,"N/A")</f>
        <v>0</v>
      </c>
      <c r="HO12" s="69" t="n">
        <f aca="false">IFERROR((HK12+HL12)/(HK12+HL12+HM12),0)</f>
        <v>0</v>
      </c>
    </row>
    <row r="13" customFormat="false" ht="15.75" hidden="false" customHeight="true" outlineLevel="0" collapsed="false">
      <c r="A13" s="62" t="str">
        <f aca="false">Roster!B13</f>
        <v>Resident 9</v>
      </c>
      <c r="B13" s="63"/>
      <c r="C13" s="63"/>
      <c r="D13" s="63"/>
      <c r="E13" s="63"/>
      <c r="F13" s="63"/>
      <c r="G13" s="63"/>
      <c r="H13" s="63"/>
      <c r="I13" s="64"/>
      <c r="J13" s="64"/>
      <c r="K13" s="64"/>
      <c r="L13" s="64"/>
      <c r="M13" s="64"/>
      <c r="N13" s="64"/>
      <c r="O13" s="64"/>
      <c r="P13" s="63"/>
      <c r="Q13" s="63"/>
      <c r="R13" s="63"/>
      <c r="S13" s="63"/>
      <c r="T13" s="63"/>
      <c r="U13" s="63"/>
      <c r="V13" s="63"/>
      <c r="W13" s="64"/>
      <c r="X13" s="64"/>
      <c r="Y13" s="64"/>
      <c r="Z13" s="64"/>
      <c r="AA13" s="64"/>
      <c r="AB13" s="64"/>
      <c r="AC13" s="64"/>
      <c r="AD13" s="63"/>
      <c r="AE13" s="63"/>
      <c r="AF13" s="63"/>
      <c r="AG13" s="63"/>
      <c r="AH13" s="63"/>
      <c r="AI13" s="63"/>
      <c r="AJ13" s="63"/>
      <c r="AK13" s="64"/>
      <c r="AL13" s="64"/>
      <c r="AM13" s="64"/>
      <c r="AN13" s="64"/>
      <c r="AO13" s="64"/>
      <c r="AP13" s="64"/>
      <c r="AQ13" s="64"/>
      <c r="AR13" s="63"/>
      <c r="AS13" s="63"/>
      <c r="AT13" s="63"/>
      <c r="AU13" s="63"/>
      <c r="AV13" s="63"/>
      <c r="AW13" s="63"/>
      <c r="AX13" s="63"/>
      <c r="AY13" s="64"/>
      <c r="AZ13" s="64"/>
      <c r="BA13" s="64"/>
      <c r="BB13" s="64"/>
      <c r="BC13" s="64"/>
      <c r="BD13" s="64"/>
      <c r="BE13" s="64"/>
      <c r="BF13" s="63"/>
      <c r="BG13" s="63"/>
      <c r="BH13" s="63"/>
      <c r="BI13" s="63"/>
      <c r="BJ13" s="63"/>
      <c r="BK13" s="63"/>
      <c r="BL13" s="63"/>
      <c r="BM13" s="64"/>
      <c r="BN13" s="64"/>
      <c r="BO13" s="64"/>
      <c r="BP13" s="64"/>
      <c r="BQ13" s="64"/>
      <c r="BR13" s="64"/>
      <c r="BS13" s="64"/>
      <c r="BT13" s="63"/>
      <c r="BU13" s="63"/>
      <c r="BV13" s="63"/>
      <c r="BW13" s="63"/>
      <c r="BX13" s="63"/>
      <c r="BY13" s="63"/>
      <c r="BZ13" s="63"/>
      <c r="CA13" s="64"/>
      <c r="CB13" s="64"/>
      <c r="CC13" s="64"/>
      <c r="CD13" s="64"/>
      <c r="CE13" s="64"/>
      <c r="CF13" s="64"/>
      <c r="CG13" s="64"/>
      <c r="CH13" s="63"/>
      <c r="CI13" s="63"/>
      <c r="CJ13" s="63"/>
      <c r="CK13" s="63"/>
      <c r="CL13" s="63"/>
      <c r="CM13" s="63"/>
      <c r="CN13" s="63"/>
      <c r="CO13" s="64"/>
      <c r="CP13" s="64"/>
      <c r="CQ13" s="64"/>
      <c r="CR13" s="64"/>
      <c r="CS13" s="64"/>
      <c r="CT13" s="64"/>
      <c r="CU13" s="64"/>
      <c r="CV13" s="63"/>
      <c r="CW13" s="63"/>
      <c r="CX13" s="63"/>
      <c r="CY13" s="63"/>
      <c r="CZ13" s="63"/>
      <c r="DA13" s="63"/>
      <c r="DB13" s="63"/>
      <c r="DC13" s="64"/>
      <c r="DD13" s="64"/>
      <c r="DE13" s="64"/>
      <c r="DF13" s="64"/>
      <c r="DG13" s="64"/>
      <c r="DH13" s="64"/>
      <c r="DI13" s="64"/>
      <c r="DJ13" s="63"/>
      <c r="DK13" s="63"/>
      <c r="DL13" s="63"/>
      <c r="DM13" s="63"/>
      <c r="DN13" s="63"/>
      <c r="DO13" s="63"/>
      <c r="DP13" s="63"/>
      <c r="DQ13" s="64"/>
      <c r="DR13" s="64"/>
      <c r="DS13" s="64"/>
      <c r="DT13" s="64"/>
      <c r="DU13" s="64"/>
      <c r="DV13" s="64"/>
      <c r="DW13" s="64"/>
      <c r="DX13" s="63"/>
      <c r="DY13" s="63"/>
      <c r="DZ13" s="63"/>
      <c r="EA13" s="63"/>
      <c r="EB13" s="63"/>
      <c r="EC13" s="63"/>
      <c r="ED13" s="63"/>
      <c r="EE13" s="64"/>
      <c r="EF13" s="64"/>
      <c r="EG13" s="64"/>
      <c r="EH13" s="64"/>
      <c r="EI13" s="64"/>
      <c r="EJ13" s="64"/>
      <c r="EK13" s="64"/>
      <c r="EL13" s="63"/>
      <c r="EM13" s="63"/>
      <c r="EN13" s="63"/>
      <c r="EO13" s="63"/>
      <c r="EP13" s="63"/>
      <c r="EQ13" s="63"/>
      <c r="ER13" s="63"/>
      <c r="ES13" s="64"/>
      <c r="ET13" s="64"/>
      <c r="EU13" s="64"/>
      <c r="EV13" s="64"/>
      <c r="EW13" s="64"/>
      <c r="EX13" s="64"/>
      <c r="EY13" s="64"/>
      <c r="EZ13" s="63"/>
      <c r="FA13" s="63"/>
      <c r="FB13" s="63"/>
      <c r="FC13" s="63"/>
      <c r="FD13" s="63"/>
      <c r="FE13" s="63"/>
      <c r="FF13" s="63"/>
      <c r="FG13" s="64"/>
      <c r="FH13" s="64"/>
      <c r="FI13" s="64"/>
      <c r="FJ13" s="64"/>
      <c r="FK13" s="64"/>
      <c r="FL13" s="64"/>
      <c r="FM13" s="64"/>
      <c r="FN13" s="63"/>
      <c r="FO13" s="63"/>
      <c r="FP13" s="63"/>
      <c r="FQ13" s="63"/>
      <c r="FR13" s="63"/>
      <c r="FS13" s="63"/>
      <c r="FT13" s="63"/>
      <c r="FU13" s="64"/>
      <c r="FV13" s="64"/>
      <c r="FW13" s="64"/>
      <c r="FX13" s="64"/>
      <c r="FY13" s="64"/>
      <c r="FZ13" s="64"/>
      <c r="GA13" s="64"/>
      <c r="GB13" s="63"/>
      <c r="GC13" s="63"/>
      <c r="GD13" s="63"/>
      <c r="GE13" s="63"/>
      <c r="GF13" s="63"/>
      <c r="GG13" s="63"/>
      <c r="GH13" s="63"/>
      <c r="GI13" s="64"/>
      <c r="GJ13" s="64"/>
      <c r="GK13" s="64"/>
      <c r="GL13" s="64"/>
      <c r="GM13" s="64"/>
      <c r="GN13" s="64"/>
      <c r="GO13" s="64"/>
      <c r="GP13" s="63"/>
      <c r="GQ13" s="63"/>
      <c r="GR13" s="63"/>
      <c r="GS13" s="63"/>
      <c r="GT13" s="63"/>
      <c r="GU13" s="63"/>
      <c r="GV13" s="63"/>
      <c r="GW13" s="64"/>
      <c r="GX13" s="64"/>
      <c r="GY13" s="64"/>
      <c r="GZ13" s="64"/>
      <c r="HA13" s="64"/>
      <c r="HB13" s="64"/>
      <c r="HC13" s="64"/>
      <c r="HD13" s="63"/>
      <c r="HE13" s="63"/>
      <c r="HF13" s="63"/>
      <c r="HG13" s="63"/>
      <c r="HH13" s="63"/>
      <c r="HI13" s="63"/>
      <c r="HJ13" s="63"/>
      <c r="HK13" s="65" t="n">
        <f aca="false">COUNTIF(B13:HJ13,"A")</f>
        <v>0</v>
      </c>
      <c r="HL13" s="66" t="n">
        <f aca="false">COUNTIF(B13:HJ13,"O")</f>
        <v>0</v>
      </c>
      <c r="HM13" s="67" t="n">
        <f aca="false">COUNTIF(B13:HJ13,"D")</f>
        <v>0</v>
      </c>
      <c r="HN13" s="68" t="n">
        <f aca="false">COUNTIF(B13:HJ13,"N/A")</f>
        <v>0</v>
      </c>
      <c r="HO13" s="69" t="n">
        <f aca="false">IFERROR((HK13+HL13)/(HK13+HL13+HM13),0)</f>
        <v>0</v>
      </c>
    </row>
    <row r="14" customFormat="false" ht="15.75" hidden="false" customHeight="true" outlineLevel="0" collapsed="false">
      <c r="A14" s="62" t="str">
        <f aca="false">Roster!B14</f>
        <v>Resident 10</v>
      </c>
      <c r="B14" s="63"/>
      <c r="C14" s="63"/>
      <c r="D14" s="63"/>
      <c r="E14" s="63"/>
      <c r="F14" s="63"/>
      <c r="G14" s="63"/>
      <c r="H14" s="63"/>
      <c r="I14" s="64"/>
      <c r="J14" s="64"/>
      <c r="K14" s="64"/>
      <c r="L14" s="64"/>
      <c r="M14" s="64"/>
      <c r="N14" s="64"/>
      <c r="O14" s="64"/>
      <c r="P14" s="63"/>
      <c r="Q14" s="63"/>
      <c r="R14" s="63"/>
      <c r="S14" s="63"/>
      <c r="T14" s="63"/>
      <c r="U14" s="63"/>
      <c r="V14" s="63"/>
      <c r="W14" s="64"/>
      <c r="X14" s="64"/>
      <c r="Y14" s="64"/>
      <c r="Z14" s="64"/>
      <c r="AA14" s="64"/>
      <c r="AB14" s="64"/>
      <c r="AC14" s="64"/>
      <c r="AD14" s="63"/>
      <c r="AE14" s="63"/>
      <c r="AF14" s="63"/>
      <c r="AG14" s="63"/>
      <c r="AH14" s="63"/>
      <c r="AI14" s="63"/>
      <c r="AJ14" s="63"/>
      <c r="AK14" s="64"/>
      <c r="AL14" s="64"/>
      <c r="AM14" s="64"/>
      <c r="AN14" s="64"/>
      <c r="AO14" s="64"/>
      <c r="AP14" s="64"/>
      <c r="AQ14" s="64"/>
      <c r="AR14" s="63"/>
      <c r="AS14" s="63"/>
      <c r="AT14" s="63"/>
      <c r="AU14" s="63"/>
      <c r="AV14" s="63"/>
      <c r="AW14" s="63"/>
      <c r="AX14" s="63"/>
      <c r="AY14" s="64"/>
      <c r="AZ14" s="64"/>
      <c r="BA14" s="64"/>
      <c r="BB14" s="64"/>
      <c r="BC14" s="64"/>
      <c r="BD14" s="64"/>
      <c r="BE14" s="64"/>
      <c r="BF14" s="63"/>
      <c r="BG14" s="63"/>
      <c r="BH14" s="63"/>
      <c r="BI14" s="63"/>
      <c r="BJ14" s="63"/>
      <c r="BK14" s="63"/>
      <c r="BL14" s="63"/>
      <c r="BM14" s="64"/>
      <c r="BN14" s="64"/>
      <c r="BO14" s="64"/>
      <c r="BP14" s="64"/>
      <c r="BQ14" s="64"/>
      <c r="BR14" s="64"/>
      <c r="BS14" s="64"/>
      <c r="BT14" s="63"/>
      <c r="BU14" s="63"/>
      <c r="BV14" s="63"/>
      <c r="BW14" s="63"/>
      <c r="BX14" s="63"/>
      <c r="BY14" s="63"/>
      <c r="BZ14" s="63"/>
      <c r="CA14" s="64"/>
      <c r="CB14" s="64"/>
      <c r="CC14" s="64"/>
      <c r="CD14" s="64"/>
      <c r="CE14" s="64"/>
      <c r="CF14" s="64"/>
      <c r="CG14" s="64"/>
      <c r="CH14" s="63"/>
      <c r="CI14" s="63"/>
      <c r="CJ14" s="63"/>
      <c r="CK14" s="63"/>
      <c r="CL14" s="63"/>
      <c r="CM14" s="63"/>
      <c r="CN14" s="63"/>
      <c r="CO14" s="64"/>
      <c r="CP14" s="64"/>
      <c r="CQ14" s="64"/>
      <c r="CR14" s="64"/>
      <c r="CS14" s="64"/>
      <c r="CT14" s="64"/>
      <c r="CU14" s="64"/>
      <c r="CV14" s="63"/>
      <c r="CW14" s="63"/>
      <c r="CX14" s="63"/>
      <c r="CY14" s="63"/>
      <c r="CZ14" s="63"/>
      <c r="DA14" s="63"/>
      <c r="DB14" s="63"/>
      <c r="DC14" s="64"/>
      <c r="DD14" s="64"/>
      <c r="DE14" s="64"/>
      <c r="DF14" s="64"/>
      <c r="DG14" s="64"/>
      <c r="DH14" s="64"/>
      <c r="DI14" s="64"/>
      <c r="DJ14" s="63"/>
      <c r="DK14" s="63"/>
      <c r="DL14" s="63"/>
      <c r="DM14" s="63"/>
      <c r="DN14" s="63"/>
      <c r="DO14" s="63"/>
      <c r="DP14" s="63"/>
      <c r="DQ14" s="64"/>
      <c r="DR14" s="64"/>
      <c r="DS14" s="64"/>
      <c r="DT14" s="64"/>
      <c r="DU14" s="64"/>
      <c r="DV14" s="64"/>
      <c r="DW14" s="64"/>
      <c r="DX14" s="63"/>
      <c r="DY14" s="63"/>
      <c r="DZ14" s="63"/>
      <c r="EA14" s="63"/>
      <c r="EB14" s="63"/>
      <c r="EC14" s="63"/>
      <c r="ED14" s="63"/>
      <c r="EE14" s="64"/>
      <c r="EF14" s="64"/>
      <c r="EG14" s="64"/>
      <c r="EH14" s="64"/>
      <c r="EI14" s="64"/>
      <c r="EJ14" s="64"/>
      <c r="EK14" s="64"/>
      <c r="EL14" s="63"/>
      <c r="EM14" s="63"/>
      <c r="EN14" s="63"/>
      <c r="EO14" s="63"/>
      <c r="EP14" s="63"/>
      <c r="EQ14" s="63"/>
      <c r="ER14" s="63"/>
      <c r="ES14" s="64"/>
      <c r="ET14" s="64"/>
      <c r="EU14" s="64"/>
      <c r="EV14" s="64"/>
      <c r="EW14" s="64"/>
      <c r="EX14" s="64"/>
      <c r="EY14" s="64"/>
      <c r="EZ14" s="63"/>
      <c r="FA14" s="63"/>
      <c r="FB14" s="63"/>
      <c r="FC14" s="63"/>
      <c r="FD14" s="63"/>
      <c r="FE14" s="63"/>
      <c r="FF14" s="63"/>
      <c r="FG14" s="64"/>
      <c r="FH14" s="64"/>
      <c r="FI14" s="64"/>
      <c r="FJ14" s="64"/>
      <c r="FK14" s="64"/>
      <c r="FL14" s="64"/>
      <c r="FM14" s="64"/>
      <c r="FN14" s="63"/>
      <c r="FO14" s="63"/>
      <c r="FP14" s="63"/>
      <c r="FQ14" s="63"/>
      <c r="FR14" s="63"/>
      <c r="FS14" s="63"/>
      <c r="FT14" s="63"/>
      <c r="FU14" s="64"/>
      <c r="FV14" s="64"/>
      <c r="FW14" s="64"/>
      <c r="FX14" s="64"/>
      <c r="FY14" s="64"/>
      <c r="FZ14" s="64"/>
      <c r="GA14" s="64"/>
      <c r="GB14" s="63"/>
      <c r="GC14" s="63"/>
      <c r="GD14" s="63"/>
      <c r="GE14" s="63"/>
      <c r="GF14" s="63"/>
      <c r="GG14" s="63"/>
      <c r="GH14" s="63"/>
      <c r="GI14" s="64"/>
      <c r="GJ14" s="64"/>
      <c r="GK14" s="64"/>
      <c r="GL14" s="64"/>
      <c r="GM14" s="64"/>
      <c r="GN14" s="64"/>
      <c r="GO14" s="64"/>
      <c r="GP14" s="63"/>
      <c r="GQ14" s="63"/>
      <c r="GR14" s="63"/>
      <c r="GS14" s="63"/>
      <c r="GT14" s="63"/>
      <c r="GU14" s="63"/>
      <c r="GV14" s="63"/>
      <c r="GW14" s="64"/>
      <c r="GX14" s="64"/>
      <c r="GY14" s="64"/>
      <c r="GZ14" s="64"/>
      <c r="HA14" s="64"/>
      <c r="HB14" s="64"/>
      <c r="HC14" s="64"/>
      <c r="HD14" s="63"/>
      <c r="HE14" s="63"/>
      <c r="HF14" s="63"/>
      <c r="HG14" s="63"/>
      <c r="HH14" s="63"/>
      <c r="HI14" s="63"/>
      <c r="HJ14" s="63"/>
      <c r="HK14" s="65" t="n">
        <f aca="false">COUNTIF(B14:HJ14,"A")</f>
        <v>0</v>
      </c>
      <c r="HL14" s="66" t="n">
        <f aca="false">COUNTIF(B14:HJ14,"O")</f>
        <v>0</v>
      </c>
      <c r="HM14" s="67" t="n">
        <f aca="false">COUNTIF(B14:HJ14,"D")</f>
        <v>0</v>
      </c>
      <c r="HN14" s="68" t="n">
        <f aca="false">COUNTIF(B14:HJ14,"N/A")</f>
        <v>0</v>
      </c>
      <c r="HO14" s="69" t="n">
        <f aca="false">IFERROR((HK14+HL14)/(HK14+HL14+HM14),0)</f>
        <v>0</v>
      </c>
    </row>
    <row r="15" customFormat="false" ht="15.75" hidden="false" customHeight="true" outlineLevel="0" collapsed="false">
      <c r="A15" s="62" t="str">
        <f aca="false">Roster!B15</f>
        <v>Resident 11</v>
      </c>
      <c r="B15" s="63"/>
      <c r="C15" s="63"/>
      <c r="D15" s="63"/>
      <c r="E15" s="63"/>
      <c r="F15" s="63"/>
      <c r="G15" s="63"/>
      <c r="H15" s="63"/>
      <c r="I15" s="64"/>
      <c r="J15" s="64"/>
      <c r="K15" s="64"/>
      <c r="L15" s="64"/>
      <c r="M15" s="64"/>
      <c r="N15" s="64"/>
      <c r="O15" s="64"/>
      <c r="P15" s="63"/>
      <c r="Q15" s="63"/>
      <c r="R15" s="63"/>
      <c r="S15" s="63"/>
      <c r="T15" s="63"/>
      <c r="U15" s="63"/>
      <c r="V15" s="63"/>
      <c r="W15" s="64"/>
      <c r="X15" s="64"/>
      <c r="Y15" s="64"/>
      <c r="Z15" s="64"/>
      <c r="AA15" s="64"/>
      <c r="AB15" s="64"/>
      <c r="AC15" s="64"/>
      <c r="AD15" s="63"/>
      <c r="AE15" s="63"/>
      <c r="AF15" s="63"/>
      <c r="AG15" s="63"/>
      <c r="AH15" s="63"/>
      <c r="AI15" s="63"/>
      <c r="AJ15" s="63"/>
      <c r="AK15" s="64"/>
      <c r="AL15" s="64"/>
      <c r="AM15" s="64"/>
      <c r="AN15" s="64"/>
      <c r="AO15" s="64"/>
      <c r="AP15" s="64"/>
      <c r="AQ15" s="64"/>
      <c r="AR15" s="63"/>
      <c r="AS15" s="63"/>
      <c r="AT15" s="63"/>
      <c r="AU15" s="63"/>
      <c r="AV15" s="63"/>
      <c r="AW15" s="63"/>
      <c r="AX15" s="63"/>
      <c r="AY15" s="64"/>
      <c r="AZ15" s="64"/>
      <c r="BA15" s="64"/>
      <c r="BB15" s="64"/>
      <c r="BC15" s="64"/>
      <c r="BD15" s="64"/>
      <c r="BE15" s="64"/>
      <c r="BF15" s="63"/>
      <c r="BG15" s="63"/>
      <c r="BH15" s="63"/>
      <c r="BI15" s="63"/>
      <c r="BJ15" s="63"/>
      <c r="BK15" s="63"/>
      <c r="BL15" s="63"/>
      <c r="BM15" s="64"/>
      <c r="BN15" s="64"/>
      <c r="BO15" s="64"/>
      <c r="BP15" s="64"/>
      <c r="BQ15" s="64"/>
      <c r="BR15" s="64"/>
      <c r="BS15" s="64"/>
      <c r="BT15" s="63"/>
      <c r="BU15" s="63"/>
      <c r="BV15" s="63"/>
      <c r="BW15" s="63"/>
      <c r="BX15" s="63"/>
      <c r="BY15" s="63"/>
      <c r="BZ15" s="63"/>
      <c r="CA15" s="64"/>
      <c r="CB15" s="64"/>
      <c r="CC15" s="64"/>
      <c r="CD15" s="64"/>
      <c r="CE15" s="64"/>
      <c r="CF15" s="64"/>
      <c r="CG15" s="64"/>
      <c r="CH15" s="63"/>
      <c r="CI15" s="63"/>
      <c r="CJ15" s="63"/>
      <c r="CK15" s="63"/>
      <c r="CL15" s="63"/>
      <c r="CM15" s="63"/>
      <c r="CN15" s="63"/>
      <c r="CO15" s="64"/>
      <c r="CP15" s="64"/>
      <c r="CQ15" s="64"/>
      <c r="CR15" s="64"/>
      <c r="CS15" s="64"/>
      <c r="CT15" s="64"/>
      <c r="CU15" s="64"/>
      <c r="CV15" s="63"/>
      <c r="CW15" s="63"/>
      <c r="CX15" s="63"/>
      <c r="CY15" s="63"/>
      <c r="CZ15" s="63"/>
      <c r="DA15" s="63"/>
      <c r="DB15" s="63"/>
      <c r="DC15" s="64"/>
      <c r="DD15" s="64"/>
      <c r="DE15" s="64"/>
      <c r="DF15" s="64"/>
      <c r="DG15" s="64"/>
      <c r="DH15" s="64"/>
      <c r="DI15" s="64"/>
      <c r="DJ15" s="63"/>
      <c r="DK15" s="63"/>
      <c r="DL15" s="63"/>
      <c r="DM15" s="63"/>
      <c r="DN15" s="63"/>
      <c r="DO15" s="63"/>
      <c r="DP15" s="63"/>
      <c r="DQ15" s="64"/>
      <c r="DR15" s="64"/>
      <c r="DS15" s="64"/>
      <c r="DT15" s="64"/>
      <c r="DU15" s="64"/>
      <c r="DV15" s="64"/>
      <c r="DW15" s="64"/>
      <c r="DX15" s="63"/>
      <c r="DY15" s="63"/>
      <c r="DZ15" s="63"/>
      <c r="EA15" s="63"/>
      <c r="EB15" s="63"/>
      <c r="EC15" s="63"/>
      <c r="ED15" s="63"/>
      <c r="EE15" s="64"/>
      <c r="EF15" s="64"/>
      <c r="EG15" s="64"/>
      <c r="EH15" s="64"/>
      <c r="EI15" s="64"/>
      <c r="EJ15" s="64"/>
      <c r="EK15" s="64"/>
      <c r="EL15" s="63"/>
      <c r="EM15" s="63"/>
      <c r="EN15" s="63"/>
      <c r="EO15" s="63"/>
      <c r="EP15" s="63"/>
      <c r="EQ15" s="63"/>
      <c r="ER15" s="63"/>
      <c r="ES15" s="64"/>
      <c r="ET15" s="64"/>
      <c r="EU15" s="64"/>
      <c r="EV15" s="64"/>
      <c r="EW15" s="64"/>
      <c r="EX15" s="64"/>
      <c r="EY15" s="64"/>
      <c r="EZ15" s="63"/>
      <c r="FA15" s="63"/>
      <c r="FB15" s="63"/>
      <c r="FC15" s="63"/>
      <c r="FD15" s="63"/>
      <c r="FE15" s="63"/>
      <c r="FF15" s="63"/>
      <c r="FG15" s="64"/>
      <c r="FH15" s="64"/>
      <c r="FI15" s="64"/>
      <c r="FJ15" s="64"/>
      <c r="FK15" s="64"/>
      <c r="FL15" s="64"/>
      <c r="FM15" s="64"/>
      <c r="FN15" s="63"/>
      <c r="FO15" s="63"/>
      <c r="FP15" s="63"/>
      <c r="FQ15" s="63"/>
      <c r="FR15" s="63"/>
      <c r="FS15" s="63"/>
      <c r="FT15" s="63"/>
      <c r="FU15" s="64"/>
      <c r="FV15" s="64"/>
      <c r="FW15" s="64"/>
      <c r="FX15" s="64"/>
      <c r="FY15" s="64"/>
      <c r="FZ15" s="64"/>
      <c r="GA15" s="64"/>
      <c r="GB15" s="63"/>
      <c r="GC15" s="63"/>
      <c r="GD15" s="63"/>
      <c r="GE15" s="63"/>
      <c r="GF15" s="63"/>
      <c r="GG15" s="63"/>
      <c r="GH15" s="63"/>
      <c r="GI15" s="64"/>
      <c r="GJ15" s="64"/>
      <c r="GK15" s="64"/>
      <c r="GL15" s="64"/>
      <c r="GM15" s="64"/>
      <c r="GN15" s="64"/>
      <c r="GO15" s="64"/>
      <c r="GP15" s="63"/>
      <c r="GQ15" s="63"/>
      <c r="GR15" s="63"/>
      <c r="GS15" s="63"/>
      <c r="GT15" s="63"/>
      <c r="GU15" s="63"/>
      <c r="GV15" s="63"/>
      <c r="GW15" s="64"/>
      <c r="GX15" s="64"/>
      <c r="GY15" s="64"/>
      <c r="GZ15" s="64"/>
      <c r="HA15" s="64"/>
      <c r="HB15" s="64"/>
      <c r="HC15" s="64"/>
      <c r="HD15" s="63"/>
      <c r="HE15" s="63"/>
      <c r="HF15" s="63"/>
      <c r="HG15" s="63"/>
      <c r="HH15" s="63"/>
      <c r="HI15" s="63"/>
      <c r="HJ15" s="63"/>
      <c r="HK15" s="65" t="n">
        <f aca="false">COUNTIF(B15:HJ15,"A")</f>
        <v>0</v>
      </c>
      <c r="HL15" s="66" t="n">
        <f aca="false">COUNTIF(B15:HJ15,"O")</f>
        <v>0</v>
      </c>
      <c r="HM15" s="67" t="n">
        <f aca="false">COUNTIF(B15:HJ15,"D")</f>
        <v>0</v>
      </c>
      <c r="HN15" s="68" t="n">
        <f aca="false">COUNTIF(B15:HJ15,"N/A")</f>
        <v>0</v>
      </c>
      <c r="HO15" s="69" t="n">
        <f aca="false">IFERROR((HK15+HL15)/(HK15+HL15+HM15),0)</f>
        <v>0</v>
      </c>
    </row>
    <row r="16" customFormat="false" ht="15.75" hidden="false" customHeight="true" outlineLevel="0" collapsed="false">
      <c r="A16" s="62" t="str">
        <f aca="false">Roster!B16</f>
        <v>Resident 12</v>
      </c>
      <c r="B16" s="63"/>
      <c r="C16" s="63"/>
      <c r="D16" s="63"/>
      <c r="E16" s="63"/>
      <c r="F16" s="63"/>
      <c r="G16" s="63"/>
      <c r="H16" s="63"/>
      <c r="I16" s="64"/>
      <c r="J16" s="64"/>
      <c r="K16" s="64"/>
      <c r="L16" s="64"/>
      <c r="M16" s="64"/>
      <c r="N16" s="64"/>
      <c r="O16" s="64"/>
      <c r="P16" s="63"/>
      <c r="Q16" s="63"/>
      <c r="R16" s="63"/>
      <c r="S16" s="63"/>
      <c r="T16" s="63"/>
      <c r="U16" s="63"/>
      <c r="V16" s="63"/>
      <c r="W16" s="64"/>
      <c r="X16" s="64"/>
      <c r="Y16" s="64"/>
      <c r="Z16" s="64"/>
      <c r="AA16" s="64"/>
      <c r="AB16" s="64"/>
      <c r="AC16" s="64"/>
      <c r="AD16" s="63"/>
      <c r="AE16" s="63"/>
      <c r="AF16" s="63"/>
      <c r="AG16" s="63"/>
      <c r="AH16" s="63"/>
      <c r="AI16" s="63"/>
      <c r="AJ16" s="63"/>
      <c r="AK16" s="64"/>
      <c r="AL16" s="64"/>
      <c r="AM16" s="64"/>
      <c r="AN16" s="64"/>
      <c r="AO16" s="64"/>
      <c r="AP16" s="64"/>
      <c r="AQ16" s="64"/>
      <c r="AR16" s="63"/>
      <c r="AS16" s="63"/>
      <c r="AT16" s="63"/>
      <c r="AU16" s="63"/>
      <c r="AV16" s="63"/>
      <c r="AW16" s="63"/>
      <c r="AX16" s="63"/>
      <c r="AY16" s="64"/>
      <c r="AZ16" s="64"/>
      <c r="BA16" s="64"/>
      <c r="BB16" s="64"/>
      <c r="BC16" s="64"/>
      <c r="BD16" s="64"/>
      <c r="BE16" s="64"/>
      <c r="BF16" s="63"/>
      <c r="BG16" s="63"/>
      <c r="BH16" s="63"/>
      <c r="BI16" s="63"/>
      <c r="BJ16" s="63"/>
      <c r="BK16" s="63"/>
      <c r="BL16" s="63"/>
      <c r="BM16" s="64"/>
      <c r="BN16" s="64"/>
      <c r="BO16" s="64"/>
      <c r="BP16" s="64"/>
      <c r="BQ16" s="64"/>
      <c r="BR16" s="64"/>
      <c r="BS16" s="64"/>
      <c r="BT16" s="63"/>
      <c r="BU16" s="63"/>
      <c r="BV16" s="63"/>
      <c r="BW16" s="63"/>
      <c r="BX16" s="63"/>
      <c r="BY16" s="63"/>
      <c r="BZ16" s="63"/>
      <c r="CA16" s="64"/>
      <c r="CB16" s="64"/>
      <c r="CC16" s="64"/>
      <c r="CD16" s="64"/>
      <c r="CE16" s="64"/>
      <c r="CF16" s="64"/>
      <c r="CG16" s="64"/>
      <c r="CH16" s="63"/>
      <c r="CI16" s="63"/>
      <c r="CJ16" s="63"/>
      <c r="CK16" s="63"/>
      <c r="CL16" s="63"/>
      <c r="CM16" s="63"/>
      <c r="CN16" s="63"/>
      <c r="CO16" s="64"/>
      <c r="CP16" s="64"/>
      <c r="CQ16" s="64"/>
      <c r="CR16" s="64"/>
      <c r="CS16" s="64"/>
      <c r="CT16" s="64"/>
      <c r="CU16" s="64"/>
      <c r="CV16" s="63"/>
      <c r="CW16" s="63"/>
      <c r="CX16" s="63"/>
      <c r="CY16" s="63"/>
      <c r="CZ16" s="63"/>
      <c r="DA16" s="63"/>
      <c r="DB16" s="63"/>
      <c r="DC16" s="64"/>
      <c r="DD16" s="64"/>
      <c r="DE16" s="64"/>
      <c r="DF16" s="64"/>
      <c r="DG16" s="64"/>
      <c r="DH16" s="64"/>
      <c r="DI16" s="64"/>
      <c r="DJ16" s="63"/>
      <c r="DK16" s="63"/>
      <c r="DL16" s="63"/>
      <c r="DM16" s="63"/>
      <c r="DN16" s="63"/>
      <c r="DO16" s="63"/>
      <c r="DP16" s="63"/>
      <c r="DQ16" s="64"/>
      <c r="DR16" s="64"/>
      <c r="DS16" s="64"/>
      <c r="DT16" s="64"/>
      <c r="DU16" s="64"/>
      <c r="DV16" s="64"/>
      <c r="DW16" s="64"/>
      <c r="DX16" s="63"/>
      <c r="DY16" s="63"/>
      <c r="DZ16" s="63"/>
      <c r="EA16" s="63"/>
      <c r="EB16" s="63"/>
      <c r="EC16" s="63"/>
      <c r="ED16" s="63"/>
      <c r="EE16" s="64"/>
      <c r="EF16" s="64"/>
      <c r="EG16" s="64"/>
      <c r="EH16" s="64"/>
      <c r="EI16" s="64"/>
      <c r="EJ16" s="64"/>
      <c r="EK16" s="64"/>
      <c r="EL16" s="63"/>
      <c r="EM16" s="63"/>
      <c r="EN16" s="63"/>
      <c r="EO16" s="63"/>
      <c r="EP16" s="63"/>
      <c r="EQ16" s="63"/>
      <c r="ER16" s="63"/>
      <c r="ES16" s="64"/>
      <c r="ET16" s="64"/>
      <c r="EU16" s="64"/>
      <c r="EV16" s="64"/>
      <c r="EW16" s="64"/>
      <c r="EX16" s="64"/>
      <c r="EY16" s="64"/>
      <c r="EZ16" s="63"/>
      <c r="FA16" s="63"/>
      <c r="FB16" s="63"/>
      <c r="FC16" s="63"/>
      <c r="FD16" s="63"/>
      <c r="FE16" s="63"/>
      <c r="FF16" s="63"/>
      <c r="FG16" s="64"/>
      <c r="FH16" s="64"/>
      <c r="FI16" s="64"/>
      <c r="FJ16" s="64"/>
      <c r="FK16" s="64"/>
      <c r="FL16" s="64"/>
      <c r="FM16" s="64"/>
      <c r="FN16" s="63"/>
      <c r="FO16" s="63"/>
      <c r="FP16" s="63"/>
      <c r="FQ16" s="63"/>
      <c r="FR16" s="63"/>
      <c r="FS16" s="63"/>
      <c r="FT16" s="63"/>
      <c r="FU16" s="64"/>
      <c r="FV16" s="64"/>
      <c r="FW16" s="64"/>
      <c r="FX16" s="64"/>
      <c r="FY16" s="64"/>
      <c r="FZ16" s="64"/>
      <c r="GA16" s="64"/>
      <c r="GB16" s="63"/>
      <c r="GC16" s="63"/>
      <c r="GD16" s="63"/>
      <c r="GE16" s="63"/>
      <c r="GF16" s="63"/>
      <c r="GG16" s="63"/>
      <c r="GH16" s="63"/>
      <c r="GI16" s="64"/>
      <c r="GJ16" s="64"/>
      <c r="GK16" s="64"/>
      <c r="GL16" s="64"/>
      <c r="GM16" s="64"/>
      <c r="GN16" s="64"/>
      <c r="GO16" s="64"/>
      <c r="GP16" s="63"/>
      <c r="GQ16" s="63"/>
      <c r="GR16" s="63"/>
      <c r="GS16" s="63"/>
      <c r="GT16" s="63"/>
      <c r="GU16" s="63"/>
      <c r="GV16" s="63"/>
      <c r="GW16" s="64"/>
      <c r="GX16" s="64"/>
      <c r="GY16" s="64"/>
      <c r="GZ16" s="64"/>
      <c r="HA16" s="64"/>
      <c r="HB16" s="64"/>
      <c r="HC16" s="64"/>
      <c r="HD16" s="63"/>
      <c r="HE16" s="63"/>
      <c r="HF16" s="63"/>
      <c r="HG16" s="63"/>
      <c r="HH16" s="63"/>
      <c r="HI16" s="63"/>
      <c r="HJ16" s="63"/>
      <c r="HK16" s="65" t="n">
        <f aca="false">COUNTIF(B16:HJ16,"A")</f>
        <v>0</v>
      </c>
      <c r="HL16" s="66" t="n">
        <f aca="false">COUNTIF(B16:HJ16,"O")</f>
        <v>0</v>
      </c>
      <c r="HM16" s="67" t="n">
        <f aca="false">COUNTIF(B16:HJ16,"D")</f>
        <v>0</v>
      </c>
      <c r="HN16" s="68" t="n">
        <f aca="false">COUNTIF(B16:HJ16,"N/A")</f>
        <v>0</v>
      </c>
      <c r="HO16" s="69" t="n">
        <f aca="false">IFERROR((HK16+HL16)/(HK16+HL16+HM16),0)</f>
        <v>0</v>
      </c>
    </row>
    <row r="17" customFormat="false" ht="15.75" hidden="false" customHeight="true" outlineLevel="0" collapsed="false">
      <c r="A17" s="62" t="str">
        <f aca="false">Roster!B17</f>
        <v>Resident 13</v>
      </c>
      <c r="B17" s="63"/>
      <c r="C17" s="63"/>
      <c r="D17" s="63"/>
      <c r="E17" s="63"/>
      <c r="F17" s="63"/>
      <c r="G17" s="63"/>
      <c r="H17" s="63"/>
      <c r="I17" s="64"/>
      <c r="J17" s="64"/>
      <c r="K17" s="64"/>
      <c r="L17" s="64"/>
      <c r="M17" s="64"/>
      <c r="N17" s="64"/>
      <c r="O17" s="64"/>
      <c r="P17" s="63"/>
      <c r="Q17" s="63"/>
      <c r="R17" s="63"/>
      <c r="S17" s="63"/>
      <c r="T17" s="63"/>
      <c r="U17" s="63"/>
      <c r="V17" s="63"/>
      <c r="W17" s="64"/>
      <c r="X17" s="64"/>
      <c r="Y17" s="64"/>
      <c r="Z17" s="64"/>
      <c r="AA17" s="64"/>
      <c r="AB17" s="64"/>
      <c r="AC17" s="64"/>
      <c r="AD17" s="63"/>
      <c r="AE17" s="63"/>
      <c r="AF17" s="63"/>
      <c r="AG17" s="63"/>
      <c r="AH17" s="63"/>
      <c r="AI17" s="63"/>
      <c r="AJ17" s="63"/>
      <c r="AK17" s="64"/>
      <c r="AL17" s="64"/>
      <c r="AM17" s="64"/>
      <c r="AN17" s="64"/>
      <c r="AO17" s="64"/>
      <c r="AP17" s="64"/>
      <c r="AQ17" s="64"/>
      <c r="AR17" s="63"/>
      <c r="AS17" s="63"/>
      <c r="AT17" s="63"/>
      <c r="AU17" s="63"/>
      <c r="AV17" s="63"/>
      <c r="AW17" s="63"/>
      <c r="AX17" s="63"/>
      <c r="AY17" s="64"/>
      <c r="AZ17" s="64"/>
      <c r="BA17" s="64"/>
      <c r="BB17" s="64"/>
      <c r="BC17" s="64"/>
      <c r="BD17" s="64"/>
      <c r="BE17" s="64"/>
      <c r="BF17" s="63"/>
      <c r="BG17" s="63"/>
      <c r="BH17" s="63"/>
      <c r="BI17" s="63"/>
      <c r="BJ17" s="63"/>
      <c r="BK17" s="63"/>
      <c r="BL17" s="63"/>
      <c r="BM17" s="64"/>
      <c r="BN17" s="64"/>
      <c r="BO17" s="64"/>
      <c r="BP17" s="64"/>
      <c r="BQ17" s="64"/>
      <c r="BR17" s="64"/>
      <c r="BS17" s="64"/>
      <c r="BT17" s="63"/>
      <c r="BU17" s="63"/>
      <c r="BV17" s="63"/>
      <c r="BW17" s="63"/>
      <c r="BX17" s="63"/>
      <c r="BY17" s="63"/>
      <c r="BZ17" s="63"/>
      <c r="CA17" s="64"/>
      <c r="CB17" s="64"/>
      <c r="CC17" s="64"/>
      <c r="CD17" s="64"/>
      <c r="CE17" s="64"/>
      <c r="CF17" s="64"/>
      <c r="CG17" s="64"/>
      <c r="CH17" s="63"/>
      <c r="CI17" s="63"/>
      <c r="CJ17" s="63"/>
      <c r="CK17" s="63"/>
      <c r="CL17" s="63"/>
      <c r="CM17" s="63"/>
      <c r="CN17" s="63"/>
      <c r="CO17" s="64"/>
      <c r="CP17" s="64"/>
      <c r="CQ17" s="64"/>
      <c r="CR17" s="64"/>
      <c r="CS17" s="64"/>
      <c r="CT17" s="64"/>
      <c r="CU17" s="64"/>
      <c r="CV17" s="63"/>
      <c r="CW17" s="63"/>
      <c r="CX17" s="63"/>
      <c r="CY17" s="63"/>
      <c r="CZ17" s="63"/>
      <c r="DA17" s="63"/>
      <c r="DB17" s="63"/>
      <c r="DC17" s="64"/>
      <c r="DD17" s="64"/>
      <c r="DE17" s="64"/>
      <c r="DF17" s="64"/>
      <c r="DG17" s="64"/>
      <c r="DH17" s="64"/>
      <c r="DI17" s="64"/>
      <c r="DJ17" s="63"/>
      <c r="DK17" s="63"/>
      <c r="DL17" s="63"/>
      <c r="DM17" s="63"/>
      <c r="DN17" s="63"/>
      <c r="DO17" s="63"/>
      <c r="DP17" s="63"/>
      <c r="DQ17" s="64"/>
      <c r="DR17" s="64"/>
      <c r="DS17" s="64"/>
      <c r="DT17" s="64"/>
      <c r="DU17" s="64"/>
      <c r="DV17" s="64"/>
      <c r="DW17" s="64"/>
      <c r="DX17" s="63"/>
      <c r="DY17" s="63"/>
      <c r="DZ17" s="63"/>
      <c r="EA17" s="63"/>
      <c r="EB17" s="63"/>
      <c r="EC17" s="63"/>
      <c r="ED17" s="63"/>
      <c r="EE17" s="64"/>
      <c r="EF17" s="64"/>
      <c r="EG17" s="64"/>
      <c r="EH17" s="64"/>
      <c r="EI17" s="64"/>
      <c r="EJ17" s="64"/>
      <c r="EK17" s="64"/>
      <c r="EL17" s="63"/>
      <c r="EM17" s="63"/>
      <c r="EN17" s="63"/>
      <c r="EO17" s="63"/>
      <c r="EP17" s="63"/>
      <c r="EQ17" s="63"/>
      <c r="ER17" s="63"/>
      <c r="ES17" s="64"/>
      <c r="ET17" s="64"/>
      <c r="EU17" s="64"/>
      <c r="EV17" s="64"/>
      <c r="EW17" s="64"/>
      <c r="EX17" s="64"/>
      <c r="EY17" s="64"/>
      <c r="EZ17" s="63"/>
      <c r="FA17" s="63"/>
      <c r="FB17" s="63"/>
      <c r="FC17" s="63"/>
      <c r="FD17" s="63"/>
      <c r="FE17" s="63"/>
      <c r="FF17" s="63"/>
      <c r="FG17" s="64"/>
      <c r="FH17" s="64"/>
      <c r="FI17" s="64"/>
      <c r="FJ17" s="64"/>
      <c r="FK17" s="64"/>
      <c r="FL17" s="64"/>
      <c r="FM17" s="64"/>
      <c r="FN17" s="63"/>
      <c r="FO17" s="63"/>
      <c r="FP17" s="63"/>
      <c r="FQ17" s="63"/>
      <c r="FR17" s="63"/>
      <c r="FS17" s="63"/>
      <c r="FT17" s="63"/>
      <c r="FU17" s="64"/>
      <c r="FV17" s="64"/>
      <c r="FW17" s="64"/>
      <c r="FX17" s="64"/>
      <c r="FY17" s="64"/>
      <c r="FZ17" s="64"/>
      <c r="GA17" s="64"/>
      <c r="GB17" s="63"/>
      <c r="GC17" s="63"/>
      <c r="GD17" s="63"/>
      <c r="GE17" s="63"/>
      <c r="GF17" s="63"/>
      <c r="GG17" s="63"/>
      <c r="GH17" s="63"/>
      <c r="GI17" s="64"/>
      <c r="GJ17" s="64"/>
      <c r="GK17" s="64"/>
      <c r="GL17" s="64"/>
      <c r="GM17" s="64"/>
      <c r="GN17" s="64"/>
      <c r="GO17" s="64"/>
      <c r="GP17" s="63"/>
      <c r="GQ17" s="63"/>
      <c r="GR17" s="63"/>
      <c r="GS17" s="63"/>
      <c r="GT17" s="63"/>
      <c r="GU17" s="63"/>
      <c r="GV17" s="63"/>
      <c r="GW17" s="64"/>
      <c r="GX17" s="64"/>
      <c r="GY17" s="64"/>
      <c r="GZ17" s="64"/>
      <c r="HA17" s="64"/>
      <c r="HB17" s="64"/>
      <c r="HC17" s="64"/>
      <c r="HD17" s="63"/>
      <c r="HE17" s="63"/>
      <c r="HF17" s="63"/>
      <c r="HG17" s="63"/>
      <c r="HH17" s="63"/>
      <c r="HI17" s="63"/>
      <c r="HJ17" s="63"/>
      <c r="HK17" s="65" t="n">
        <f aca="false">COUNTIF(B17:HJ17,"A")</f>
        <v>0</v>
      </c>
      <c r="HL17" s="66" t="n">
        <f aca="false">COUNTIF(B17:HJ17,"O")</f>
        <v>0</v>
      </c>
      <c r="HM17" s="67" t="n">
        <f aca="false">COUNTIF(B17:HJ17,"D")</f>
        <v>0</v>
      </c>
      <c r="HN17" s="68" t="n">
        <f aca="false">COUNTIF(B17:HJ17,"N/A")</f>
        <v>0</v>
      </c>
      <c r="HO17" s="69" t="n">
        <f aca="false">IFERROR((HK17+HL17)/(HK17+HL17+HM17),0)</f>
        <v>0</v>
      </c>
    </row>
    <row r="18" customFormat="false" ht="15.75" hidden="false" customHeight="true" outlineLevel="0" collapsed="false">
      <c r="A18" s="62" t="str">
        <f aca="false">Roster!B18</f>
        <v>Resident 14</v>
      </c>
      <c r="B18" s="63"/>
      <c r="C18" s="63"/>
      <c r="D18" s="63"/>
      <c r="E18" s="63"/>
      <c r="F18" s="63"/>
      <c r="G18" s="63"/>
      <c r="H18" s="63"/>
      <c r="I18" s="64"/>
      <c r="J18" s="64"/>
      <c r="K18" s="64"/>
      <c r="L18" s="64"/>
      <c r="M18" s="64"/>
      <c r="N18" s="64"/>
      <c r="O18" s="64"/>
      <c r="P18" s="63"/>
      <c r="Q18" s="63"/>
      <c r="R18" s="63"/>
      <c r="S18" s="63"/>
      <c r="T18" s="63"/>
      <c r="U18" s="63"/>
      <c r="V18" s="63"/>
      <c r="W18" s="64"/>
      <c r="X18" s="64"/>
      <c r="Y18" s="64"/>
      <c r="Z18" s="64"/>
      <c r="AA18" s="64"/>
      <c r="AB18" s="64"/>
      <c r="AC18" s="64"/>
      <c r="AD18" s="63"/>
      <c r="AE18" s="63"/>
      <c r="AF18" s="63"/>
      <c r="AG18" s="63"/>
      <c r="AH18" s="63"/>
      <c r="AI18" s="63"/>
      <c r="AJ18" s="63"/>
      <c r="AK18" s="64"/>
      <c r="AL18" s="64"/>
      <c r="AM18" s="64"/>
      <c r="AN18" s="64"/>
      <c r="AO18" s="64"/>
      <c r="AP18" s="64"/>
      <c r="AQ18" s="64"/>
      <c r="AR18" s="63"/>
      <c r="AS18" s="63"/>
      <c r="AT18" s="63"/>
      <c r="AU18" s="63"/>
      <c r="AV18" s="63"/>
      <c r="AW18" s="63"/>
      <c r="AX18" s="63"/>
      <c r="AY18" s="64"/>
      <c r="AZ18" s="64"/>
      <c r="BA18" s="64"/>
      <c r="BB18" s="64"/>
      <c r="BC18" s="64"/>
      <c r="BD18" s="64"/>
      <c r="BE18" s="64"/>
      <c r="BF18" s="63"/>
      <c r="BG18" s="63"/>
      <c r="BH18" s="63"/>
      <c r="BI18" s="63"/>
      <c r="BJ18" s="63"/>
      <c r="BK18" s="63"/>
      <c r="BL18" s="63"/>
      <c r="BM18" s="64"/>
      <c r="BN18" s="64"/>
      <c r="BO18" s="64"/>
      <c r="BP18" s="64"/>
      <c r="BQ18" s="64"/>
      <c r="BR18" s="64"/>
      <c r="BS18" s="64"/>
      <c r="BT18" s="63"/>
      <c r="BU18" s="63"/>
      <c r="BV18" s="63"/>
      <c r="BW18" s="63"/>
      <c r="BX18" s="63"/>
      <c r="BY18" s="63"/>
      <c r="BZ18" s="63"/>
      <c r="CA18" s="64"/>
      <c r="CB18" s="64"/>
      <c r="CC18" s="64"/>
      <c r="CD18" s="64"/>
      <c r="CE18" s="64"/>
      <c r="CF18" s="64"/>
      <c r="CG18" s="64"/>
      <c r="CH18" s="63"/>
      <c r="CI18" s="63"/>
      <c r="CJ18" s="63"/>
      <c r="CK18" s="63"/>
      <c r="CL18" s="63"/>
      <c r="CM18" s="63"/>
      <c r="CN18" s="63"/>
      <c r="CO18" s="64"/>
      <c r="CP18" s="64"/>
      <c r="CQ18" s="64"/>
      <c r="CR18" s="64"/>
      <c r="CS18" s="64"/>
      <c r="CT18" s="64"/>
      <c r="CU18" s="64"/>
      <c r="CV18" s="63"/>
      <c r="CW18" s="63"/>
      <c r="CX18" s="63"/>
      <c r="CY18" s="63"/>
      <c r="CZ18" s="63"/>
      <c r="DA18" s="63"/>
      <c r="DB18" s="63"/>
      <c r="DC18" s="64"/>
      <c r="DD18" s="64"/>
      <c r="DE18" s="64"/>
      <c r="DF18" s="64"/>
      <c r="DG18" s="64"/>
      <c r="DH18" s="64"/>
      <c r="DI18" s="64"/>
      <c r="DJ18" s="63"/>
      <c r="DK18" s="63"/>
      <c r="DL18" s="63"/>
      <c r="DM18" s="63"/>
      <c r="DN18" s="63"/>
      <c r="DO18" s="63"/>
      <c r="DP18" s="63"/>
      <c r="DQ18" s="64"/>
      <c r="DR18" s="64"/>
      <c r="DS18" s="64"/>
      <c r="DT18" s="64"/>
      <c r="DU18" s="64"/>
      <c r="DV18" s="64"/>
      <c r="DW18" s="64"/>
      <c r="DX18" s="63"/>
      <c r="DY18" s="63"/>
      <c r="DZ18" s="63"/>
      <c r="EA18" s="63"/>
      <c r="EB18" s="63"/>
      <c r="EC18" s="63"/>
      <c r="ED18" s="63"/>
      <c r="EE18" s="64"/>
      <c r="EF18" s="64"/>
      <c r="EG18" s="64"/>
      <c r="EH18" s="64"/>
      <c r="EI18" s="64"/>
      <c r="EJ18" s="64"/>
      <c r="EK18" s="64"/>
      <c r="EL18" s="63"/>
      <c r="EM18" s="63"/>
      <c r="EN18" s="63"/>
      <c r="EO18" s="63"/>
      <c r="EP18" s="63"/>
      <c r="EQ18" s="63"/>
      <c r="ER18" s="63"/>
      <c r="ES18" s="64"/>
      <c r="ET18" s="64"/>
      <c r="EU18" s="64"/>
      <c r="EV18" s="64"/>
      <c r="EW18" s="64"/>
      <c r="EX18" s="64"/>
      <c r="EY18" s="64"/>
      <c r="EZ18" s="63"/>
      <c r="FA18" s="63"/>
      <c r="FB18" s="63"/>
      <c r="FC18" s="63"/>
      <c r="FD18" s="63"/>
      <c r="FE18" s="63"/>
      <c r="FF18" s="63"/>
      <c r="FG18" s="64"/>
      <c r="FH18" s="64"/>
      <c r="FI18" s="64"/>
      <c r="FJ18" s="64"/>
      <c r="FK18" s="64"/>
      <c r="FL18" s="64"/>
      <c r="FM18" s="64"/>
      <c r="FN18" s="63"/>
      <c r="FO18" s="63"/>
      <c r="FP18" s="63"/>
      <c r="FQ18" s="63"/>
      <c r="FR18" s="63"/>
      <c r="FS18" s="63"/>
      <c r="FT18" s="63"/>
      <c r="FU18" s="64"/>
      <c r="FV18" s="64"/>
      <c r="FW18" s="64"/>
      <c r="FX18" s="64"/>
      <c r="FY18" s="64"/>
      <c r="FZ18" s="64"/>
      <c r="GA18" s="64"/>
      <c r="GB18" s="63"/>
      <c r="GC18" s="63"/>
      <c r="GD18" s="63"/>
      <c r="GE18" s="63"/>
      <c r="GF18" s="63"/>
      <c r="GG18" s="63"/>
      <c r="GH18" s="63"/>
      <c r="GI18" s="64"/>
      <c r="GJ18" s="64"/>
      <c r="GK18" s="64"/>
      <c r="GL18" s="64"/>
      <c r="GM18" s="64"/>
      <c r="GN18" s="64"/>
      <c r="GO18" s="64"/>
      <c r="GP18" s="63"/>
      <c r="GQ18" s="63"/>
      <c r="GR18" s="63"/>
      <c r="GS18" s="63"/>
      <c r="GT18" s="63"/>
      <c r="GU18" s="63"/>
      <c r="GV18" s="63"/>
      <c r="GW18" s="64"/>
      <c r="GX18" s="64"/>
      <c r="GY18" s="64"/>
      <c r="GZ18" s="64"/>
      <c r="HA18" s="64"/>
      <c r="HB18" s="64"/>
      <c r="HC18" s="64"/>
      <c r="HD18" s="63"/>
      <c r="HE18" s="63"/>
      <c r="HF18" s="63"/>
      <c r="HG18" s="63"/>
      <c r="HH18" s="63"/>
      <c r="HI18" s="63"/>
      <c r="HJ18" s="63"/>
      <c r="HK18" s="65" t="n">
        <f aca="false">COUNTIF(B18:HJ18,"A")</f>
        <v>0</v>
      </c>
      <c r="HL18" s="66" t="n">
        <f aca="false">COUNTIF(B18:HJ18,"O")</f>
        <v>0</v>
      </c>
      <c r="HM18" s="67" t="n">
        <f aca="false">COUNTIF(B18:HJ18,"D")</f>
        <v>0</v>
      </c>
      <c r="HN18" s="68" t="n">
        <f aca="false">COUNTIF(B18:HJ18,"N/A")</f>
        <v>0</v>
      </c>
      <c r="HO18" s="69" t="n">
        <f aca="false">IFERROR((HK18+HL18)/(HK18+HL18+HM18),0)</f>
        <v>0</v>
      </c>
    </row>
    <row r="19" customFormat="false" ht="15.75" hidden="false" customHeight="true" outlineLevel="0" collapsed="false">
      <c r="A19" s="62" t="str">
        <f aca="false">Roster!B19</f>
        <v>Resident 15</v>
      </c>
      <c r="B19" s="63"/>
      <c r="C19" s="63"/>
      <c r="D19" s="63"/>
      <c r="E19" s="63"/>
      <c r="F19" s="63"/>
      <c r="G19" s="63"/>
      <c r="H19" s="63"/>
      <c r="I19" s="64"/>
      <c r="J19" s="64"/>
      <c r="K19" s="64"/>
      <c r="L19" s="64"/>
      <c r="M19" s="64"/>
      <c r="N19" s="64"/>
      <c r="O19" s="64"/>
      <c r="P19" s="63"/>
      <c r="Q19" s="63"/>
      <c r="R19" s="63"/>
      <c r="S19" s="63"/>
      <c r="T19" s="63"/>
      <c r="U19" s="63"/>
      <c r="V19" s="63"/>
      <c r="W19" s="64"/>
      <c r="X19" s="64"/>
      <c r="Y19" s="64"/>
      <c r="Z19" s="64"/>
      <c r="AA19" s="64"/>
      <c r="AB19" s="64"/>
      <c r="AC19" s="64"/>
      <c r="AD19" s="63"/>
      <c r="AE19" s="63"/>
      <c r="AF19" s="63"/>
      <c r="AG19" s="63"/>
      <c r="AH19" s="63"/>
      <c r="AI19" s="63"/>
      <c r="AJ19" s="63"/>
      <c r="AK19" s="64"/>
      <c r="AL19" s="64"/>
      <c r="AM19" s="64"/>
      <c r="AN19" s="64"/>
      <c r="AO19" s="64"/>
      <c r="AP19" s="64"/>
      <c r="AQ19" s="64"/>
      <c r="AR19" s="63"/>
      <c r="AS19" s="63"/>
      <c r="AT19" s="63"/>
      <c r="AU19" s="63"/>
      <c r="AV19" s="63"/>
      <c r="AW19" s="63"/>
      <c r="AX19" s="63"/>
      <c r="AY19" s="64"/>
      <c r="AZ19" s="64"/>
      <c r="BA19" s="64"/>
      <c r="BB19" s="64"/>
      <c r="BC19" s="64"/>
      <c r="BD19" s="64"/>
      <c r="BE19" s="64"/>
      <c r="BF19" s="63"/>
      <c r="BG19" s="63"/>
      <c r="BH19" s="63"/>
      <c r="BI19" s="63"/>
      <c r="BJ19" s="63"/>
      <c r="BK19" s="63"/>
      <c r="BL19" s="63"/>
      <c r="BM19" s="64"/>
      <c r="BN19" s="64"/>
      <c r="BO19" s="64"/>
      <c r="BP19" s="64"/>
      <c r="BQ19" s="64"/>
      <c r="BR19" s="64"/>
      <c r="BS19" s="64"/>
      <c r="BT19" s="63"/>
      <c r="BU19" s="63"/>
      <c r="BV19" s="63"/>
      <c r="BW19" s="63"/>
      <c r="BX19" s="63"/>
      <c r="BY19" s="63"/>
      <c r="BZ19" s="63"/>
      <c r="CA19" s="64"/>
      <c r="CB19" s="64"/>
      <c r="CC19" s="64"/>
      <c r="CD19" s="64"/>
      <c r="CE19" s="64"/>
      <c r="CF19" s="64"/>
      <c r="CG19" s="64"/>
      <c r="CH19" s="63"/>
      <c r="CI19" s="63"/>
      <c r="CJ19" s="63"/>
      <c r="CK19" s="63"/>
      <c r="CL19" s="63"/>
      <c r="CM19" s="63"/>
      <c r="CN19" s="63"/>
      <c r="CO19" s="64"/>
      <c r="CP19" s="64"/>
      <c r="CQ19" s="64"/>
      <c r="CR19" s="64"/>
      <c r="CS19" s="64"/>
      <c r="CT19" s="64"/>
      <c r="CU19" s="64"/>
      <c r="CV19" s="63"/>
      <c r="CW19" s="63"/>
      <c r="CX19" s="63"/>
      <c r="CY19" s="63"/>
      <c r="CZ19" s="63"/>
      <c r="DA19" s="63"/>
      <c r="DB19" s="63"/>
      <c r="DC19" s="64"/>
      <c r="DD19" s="64"/>
      <c r="DE19" s="64"/>
      <c r="DF19" s="64"/>
      <c r="DG19" s="64"/>
      <c r="DH19" s="64"/>
      <c r="DI19" s="64"/>
      <c r="DJ19" s="63"/>
      <c r="DK19" s="63"/>
      <c r="DL19" s="63"/>
      <c r="DM19" s="63"/>
      <c r="DN19" s="63"/>
      <c r="DO19" s="63"/>
      <c r="DP19" s="63"/>
      <c r="DQ19" s="64"/>
      <c r="DR19" s="64"/>
      <c r="DS19" s="64"/>
      <c r="DT19" s="64"/>
      <c r="DU19" s="64"/>
      <c r="DV19" s="64"/>
      <c r="DW19" s="64"/>
      <c r="DX19" s="63"/>
      <c r="DY19" s="63"/>
      <c r="DZ19" s="63"/>
      <c r="EA19" s="63"/>
      <c r="EB19" s="63"/>
      <c r="EC19" s="63"/>
      <c r="ED19" s="63"/>
      <c r="EE19" s="64"/>
      <c r="EF19" s="64"/>
      <c r="EG19" s="64"/>
      <c r="EH19" s="64"/>
      <c r="EI19" s="64"/>
      <c r="EJ19" s="64"/>
      <c r="EK19" s="64"/>
      <c r="EL19" s="63"/>
      <c r="EM19" s="63"/>
      <c r="EN19" s="63"/>
      <c r="EO19" s="63"/>
      <c r="EP19" s="63"/>
      <c r="EQ19" s="63"/>
      <c r="ER19" s="63"/>
      <c r="ES19" s="64"/>
      <c r="ET19" s="64"/>
      <c r="EU19" s="64"/>
      <c r="EV19" s="64"/>
      <c r="EW19" s="64"/>
      <c r="EX19" s="64"/>
      <c r="EY19" s="64"/>
      <c r="EZ19" s="63"/>
      <c r="FA19" s="63"/>
      <c r="FB19" s="63"/>
      <c r="FC19" s="63"/>
      <c r="FD19" s="63"/>
      <c r="FE19" s="63"/>
      <c r="FF19" s="63"/>
      <c r="FG19" s="64"/>
      <c r="FH19" s="64"/>
      <c r="FI19" s="64"/>
      <c r="FJ19" s="64"/>
      <c r="FK19" s="64"/>
      <c r="FL19" s="64"/>
      <c r="FM19" s="64"/>
      <c r="FN19" s="63"/>
      <c r="FO19" s="63"/>
      <c r="FP19" s="63"/>
      <c r="FQ19" s="63"/>
      <c r="FR19" s="63"/>
      <c r="FS19" s="63"/>
      <c r="FT19" s="63"/>
      <c r="FU19" s="64"/>
      <c r="FV19" s="64"/>
      <c r="FW19" s="64"/>
      <c r="FX19" s="64"/>
      <c r="FY19" s="64"/>
      <c r="FZ19" s="64"/>
      <c r="GA19" s="64"/>
      <c r="GB19" s="63"/>
      <c r="GC19" s="63"/>
      <c r="GD19" s="63"/>
      <c r="GE19" s="63"/>
      <c r="GF19" s="63"/>
      <c r="GG19" s="63"/>
      <c r="GH19" s="63"/>
      <c r="GI19" s="64"/>
      <c r="GJ19" s="64"/>
      <c r="GK19" s="64"/>
      <c r="GL19" s="64"/>
      <c r="GM19" s="64"/>
      <c r="GN19" s="64"/>
      <c r="GO19" s="64"/>
      <c r="GP19" s="63"/>
      <c r="GQ19" s="63"/>
      <c r="GR19" s="63"/>
      <c r="GS19" s="63"/>
      <c r="GT19" s="63"/>
      <c r="GU19" s="63"/>
      <c r="GV19" s="63"/>
      <c r="GW19" s="64"/>
      <c r="GX19" s="64"/>
      <c r="GY19" s="64"/>
      <c r="GZ19" s="64"/>
      <c r="HA19" s="64"/>
      <c r="HB19" s="64"/>
      <c r="HC19" s="64"/>
      <c r="HD19" s="63"/>
      <c r="HE19" s="63"/>
      <c r="HF19" s="63"/>
      <c r="HG19" s="63"/>
      <c r="HH19" s="63"/>
      <c r="HI19" s="63"/>
      <c r="HJ19" s="63"/>
      <c r="HK19" s="65" t="n">
        <f aca="false">COUNTIF(B19:HJ19,"A")</f>
        <v>0</v>
      </c>
      <c r="HL19" s="66" t="n">
        <f aca="false">COUNTIF(B19:HJ19,"O")</f>
        <v>0</v>
      </c>
      <c r="HM19" s="67" t="n">
        <f aca="false">COUNTIF(B19:HJ19,"D")</f>
        <v>0</v>
      </c>
      <c r="HN19" s="68" t="n">
        <f aca="false">COUNTIF(B19:HJ19,"N/A")</f>
        <v>0</v>
      </c>
      <c r="HO19" s="69" t="n">
        <f aca="false">IFERROR((HK19+HL19)/(HK19+HL19+HM19),0)</f>
        <v>0</v>
      </c>
    </row>
    <row r="20" customFormat="false" ht="15.75" hidden="false" customHeight="true" outlineLevel="0" collapsed="false">
      <c r="A20" s="62" t="n">
        <f aca="false">Roster!B20</f>
        <v>0</v>
      </c>
      <c r="B20" s="63"/>
      <c r="C20" s="63"/>
      <c r="D20" s="63"/>
      <c r="E20" s="63"/>
      <c r="F20" s="63"/>
      <c r="G20" s="63"/>
      <c r="H20" s="63"/>
      <c r="I20" s="64"/>
      <c r="J20" s="64"/>
      <c r="K20" s="64"/>
      <c r="L20" s="64"/>
      <c r="M20" s="64"/>
      <c r="N20" s="64"/>
      <c r="O20" s="64"/>
      <c r="P20" s="63"/>
      <c r="Q20" s="63"/>
      <c r="R20" s="63"/>
      <c r="S20" s="63"/>
      <c r="T20" s="63"/>
      <c r="U20" s="63"/>
      <c r="V20" s="63"/>
      <c r="W20" s="64"/>
      <c r="X20" s="64"/>
      <c r="Y20" s="64"/>
      <c r="Z20" s="64"/>
      <c r="AA20" s="64"/>
      <c r="AB20" s="64"/>
      <c r="AC20" s="64"/>
      <c r="AD20" s="63"/>
      <c r="AE20" s="63"/>
      <c r="AF20" s="63"/>
      <c r="AG20" s="63"/>
      <c r="AH20" s="63"/>
      <c r="AI20" s="63"/>
      <c r="AJ20" s="63"/>
      <c r="AK20" s="64"/>
      <c r="AL20" s="64"/>
      <c r="AM20" s="64"/>
      <c r="AN20" s="64"/>
      <c r="AO20" s="64"/>
      <c r="AP20" s="64"/>
      <c r="AQ20" s="64"/>
      <c r="AR20" s="63"/>
      <c r="AS20" s="63"/>
      <c r="AT20" s="63"/>
      <c r="AU20" s="63"/>
      <c r="AV20" s="63"/>
      <c r="AW20" s="63"/>
      <c r="AX20" s="63"/>
      <c r="AY20" s="64"/>
      <c r="AZ20" s="64"/>
      <c r="BA20" s="64"/>
      <c r="BB20" s="64"/>
      <c r="BC20" s="64"/>
      <c r="BD20" s="64"/>
      <c r="BE20" s="64"/>
      <c r="BF20" s="63"/>
      <c r="BG20" s="63"/>
      <c r="BH20" s="63"/>
      <c r="BI20" s="63"/>
      <c r="BJ20" s="63"/>
      <c r="BK20" s="63"/>
      <c r="BL20" s="63"/>
      <c r="BM20" s="64"/>
      <c r="BN20" s="64"/>
      <c r="BO20" s="64"/>
      <c r="BP20" s="64"/>
      <c r="BQ20" s="64"/>
      <c r="BR20" s="64"/>
      <c r="BS20" s="64"/>
      <c r="BT20" s="63"/>
      <c r="BU20" s="63"/>
      <c r="BV20" s="63"/>
      <c r="BW20" s="63"/>
      <c r="BX20" s="63"/>
      <c r="BY20" s="63"/>
      <c r="BZ20" s="63"/>
      <c r="CA20" s="64"/>
      <c r="CB20" s="64"/>
      <c r="CC20" s="64"/>
      <c r="CD20" s="64"/>
      <c r="CE20" s="64"/>
      <c r="CF20" s="64"/>
      <c r="CG20" s="64"/>
      <c r="CH20" s="63"/>
      <c r="CI20" s="63"/>
      <c r="CJ20" s="63"/>
      <c r="CK20" s="63"/>
      <c r="CL20" s="63"/>
      <c r="CM20" s="63"/>
      <c r="CN20" s="63"/>
      <c r="CO20" s="64"/>
      <c r="CP20" s="64"/>
      <c r="CQ20" s="64"/>
      <c r="CR20" s="64"/>
      <c r="CS20" s="64"/>
      <c r="CT20" s="64"/>
      <c r="CU20" s="64"/>
      <c r="CV20" s="63"/>
      <c r="CW20" s="63"/>
      <c r="CX20" s="63"/>
      <c r="CY20" s="63"/>
      <c r="CZ20" s="63"/>
      <c r="DA20" s="63"/>
      <c r="DB20" s="63"/>
      <c r="DC20" s="64"/>
      <c r="DD20" s="64"/>
      <c r="DE20" s="64"/>
      <c r="DF20" s="64"/>
      <c r="DG20" s="64"/>
      <c r="DH20" s="64"/>
      <c r="DI20" s="64"/>
      <c r="DJ20" s="63"/>
      <c r="DK20" s="63"/>
      <c r="DL20" s="63"/>
      <c r="DM20" s="63"/>
      <c r="DN20" s="63"/>
      <c r="DO20" s="63"/>
      <c r="DP20" s="63"/>
      <c r="DQ20" s="64"/>
      <c r="DR20" s="64"/>
      <c r="DS20" s="64"/>
      <c r="DT20" s="64"/>
      <c r="DU20" s="64"/>
      <c r="DV20" s="64"/>
      <c r="DW20" s="64"/>
      <c r="DX20" s="63"/>
      <c r="DY20" s="63"/>
      <c r="DZ20" s="63"/>
      <c r="EA20" s="63"/>
      <c r="EB20" s="63"/>
      <c r="EC20" s="63"/>
      <c r="ED20" s="63"/>
      <c r="EE20" s="64"/>
      <c r="EF20" s="64"/>
      <c r="EG20" s="64"/>
      <c r="EH20" s="64"/>
      <c r="EI20" s="64"/>
      <c r="EJ20" s="64"/>
      <c r="EK20" s="64"/>
      <c r="EL20" s="63"/>
      <c r="EM20" s="63"/>
      <c r="EN20" s="63"/>
      <c r="EO20" s="63"/>
      <c r="EP20" s="63"/>
      <c r="EQ20" s="63"/>
      <c r="ER20" s="63"/>
      <c r="ES20" s="64"/>
      <c r="ET20" s="64"/>
      <c r="EU20" s="64"/>
      <c r="EV20" s="64"/>
      <c r="EW20" s="64"/>
      <c r="EX20" s="64"/>
      <c r="EY20" s="64"/>
      <c r="EZ20" s="63"/>
      <c r="FA20" s="63"/>
      <c r="FB20" s="63"/>
      <c r="FC20" s="63"/>
      <c r="FD20" s="63"/>
      <c r="FE20" s="63"/>
      <c r="FF20" s="63"/>
      <c r="FG20" s="64"/>
      <c r="FH20" s="64"/>
      <c r="FI20" s="64"/>
      <c r="FJ20" s="64"/>
      <c r="FK20" s="64"/>
      <c r="FL20" s="64"/>
      <c r="FM20" s="64"/>
      <c r="FN20" s="63"/>
      <c r="FO20" s="63"/>
      <c r="FP20" s="63"/>
      <c r="FQ20" s="63"/>
      <c r="FR20" s="63"/>
      <c r="FS20" s="63"/>
      <c r="FT20" s="63"/>
      <c r="FU20" s="64"/>
      <c r="FV20" s="64"/>
      <c r="FW20" s="64"/>
      <c r="FX20" s="64"/>
      <c r="FY20" s="64"/>
      <c r="FZ20" s="64"/>
      <c r="GA20" s="64"/>
      <c r="GB20" s="63"/>
      <c r="GC20" s="63"/>
      <c r="GD20" s="63"/>
      <c r="GE20" s="63"/>
      <c r="GF20" s="63"/>
      <c r="GG20" s="63"/>
      <c r="GH20" s="63"/>
      <c r="GI20" s="64"/>
      <c r="GJ20" s="64"/>
      <c r="GK20" s="64"/>
      <c r="GL20" s="64"/>
      <c r="GM20" s="64"/>
      <c r="GN20" s="64"/>
      <c r="GO20" s="64"/>
      <c r="GP20" s="63"/>
      <c r="GQ20" s="63"/>
      <c r="GR20" s="63"/>
      <c r="GS20" s="63"/>
      <c r="GT20" s="63"/>
      <c r="GU20" s="63"/>
      <c r="GV20" s="63"/>
      <c r="GW20" s="64"/>
      <c r="GX20" s="64"/>
      <c r="GY20" s="64"/>
      <c r="GZ20" s="64"/>
      <c r="HA20" s="64"/>
      <c r="HB20" s="64"/>
      <c r="HC20" s="64"/>
      <c r="HD20" s="63"/>
      <c r="HE20" s="63"/>
      <c r="HF20" s="63"/>
      <c r="HG20" s="63"/>
      <c r="HH20" s="63"/>
      <c r="HI20" s="63"/>
      <c r="HJ20" s="63"/>
      <c r="HK20" s="65" t="n">
        <f aca="false">COUNTIF(B20:HJ20,"A")</f>
        <v>0</v>
      </c>
      <c r="HL20" s="66" t="n">
        <f aca="false">COUNTIF(B20:HJ20,"O")</f>
        <v>0</v>
      </c>
      <c r="HM20" s="67" t="n">
        <f aca="false">COUNTIF(B20:HJ20,"D")</f>
        <v>0</v>
      </c>
      <c r="HN20" s="68" t="n">
        <f aca="false">COUNTIF(B20:HJ20,"N/A")</f>
        <v>0</v>
      </c>
      <c r="HO20" s="69" t="n">
        <f aca="false">IFERROR((HK20+HL20)/(HK20+HL20+HM20),0)</f>
        <v>0</v>
      </c>
    </row>
    <row r="21" customFormat="false" ht="15.75" hidden="false" customHeight="true" outlineLevel="0" collapsed="false">
      <c r="A21" s="62" t="n">
        <f aca="false">Roster!B21</f>
        <v>0</v>
      </c>
      <c r="B21" s="63"/>
      <c r="C21" s="63"/>
      <c r="D21" s="63"/>
      <c r="E21" s="63"/>
      <c r="F21" s="63"/>
      <c r="G21" s="63"/>
      <c r="H21" s="63"/>
      <c r="I21" s="64"/>
      <c r="J21" s="64"/>
      <c r="K21" s="64"/>
      <c r="L21" s="64"/>
      <c r="M21" s="64"/>
      <c r="N21" s="64"/>
      <c r="O21" s="64"/>
      <c r="P21" s="63"/>
      <c r="Q21" s="63"/>
      <c r="R21" s="63"/>
      <c r="S21" s="63"/>
      <c r="T21" s="63"/>
      <c r="U21" s="63"/>
      <c r="V21" s="63"/>
      <c r="W21" s="64"/>
      <c r="X21" s="64"/>
      <c r="Y21" s="64"/>
      <c r="Z21" s="64"/>
      <c r="AA21" s="64"/>
      <c r="AB21" s="64"/>
      <c r="AC21" s="64"/>
      <c r="AD21" s="63"/>
      <c r="AE21" s="63"/>
      <c r="AF21" s="63"/>
      <c r="AG21" s="63"/>
      <c r="AH21" s="63"/>
      <c r="AI21" s="63"/>
      <c r="AJ21" s="63"/>
      <c r="AK21" s="64"/>
      <c r="AL21" s="64"/>
      <c r="AM21" s="64"/>
      <c r="AN21" s="64"/>
      <c r="AO21" s="64"/>
      <c r="AP21" s="64"/>
      <c r="AQ21" s="64"/>
      <c r="AR21" s="63"/>
      <c r="AS21" s="63"/>
      <c r="AT21" s="63"/>
      <c r="AU21" s="63"/>
      <c r="AV21" s="63"/>
      <c r="AW21" s="63"/>
      <c r="AX21" s="63"/>
      <c r="AY21" s="64"/>
      <c r="AZ21" s="64"/>
      <c r="BA21" s="64"/>
      <c r="BB21" s="64"/>
      <c r="BC21" s="64"/>
      <c r="BD21" s="64"/>
      <c r="BE21" s="64"/>
      <c r="BF21" s="63"/>
      <c r="BG21" s="63"/>
      <c r="BH21" s="63"/>
      <c r="BI21" s="63"/>
      <c r="BJ21" s="63"/>
      <c r="BK21" s="63"/>
      <c r="BL21" s="63"/>
      <c r="BM21" s="64"/>
      <c r="BN21" s="64"/>
      <c r="BO21" s="64"/>
      <c r="BP21" s="64"/>
      <c r="BQ21" s="64"/>
      <c r="BR21" s="64"/>
      <c r="BS21" s="64"/>
      <c r="BT21" s="63"/>
      <c r="BU21" s="63"/>
      <c r="BV21" s="63"/>
      <c r="BW21" s="63"/>
      <c r="BX21" s="63"/>
      <c r="BY21" s="63"/>
      <c r="BZ21" s="63"/>
      <c r="CA21" s="64"/>
      <c r="CB21" s="64"/>
      <c r="CC21" s="64"/>
      <c r="CD21" s="64"/>
      <c r="CE21" s="64"/>
      <c r="CF21" s="64"/>
      <c r="CG21" s="64"/>
      <c r="CH21" s="63"/>
      <c r="CI21" s="63"/>
      <c r="CJ21" s="63"/>
      <c r="CK21" s="63"/>
      <c r="CL21" s="63"/>
      <c r="CM21" s="63"/>
      <c r="CN21" s="63"/>
      <c r="CO21" s="64"/>
      <c r="CP21" s="64"/>
      <c r="CQ21" s="64"/>
      <c r="CR21" s="64"/>
      <c r="CS21" s="64"/>
      <c r="CT21" s="64"/>
      <c r="CU21" s="64"/>
      <c r="CV21" s="63"/>
      <c r="CW21" s="63"/>
      <c r="CX21" s="63"/>
      <c r="CY21" s="63"/>
      <c r="CZ21" s="63"/>
      <c r="DA21" s="63"/>
      <c r="DB21" s="63"/>
      <c r="DC21" s="64"/>
      <c r="DD21" s="64"/>
      <c r="DE21" s="64"/>
      <c r="DF21" s="64"/>
      <c r="DG21" s="64"/>
      <c r="DH21" s="64"/>
      <c r="DI21" s="64"/>
      <c r="DJ21" s="63"/>
      <c r="DK21" s="63"/>
      <c r="DL21" s="63"/>
      <c r="DM21" s="63"/>
      <c r="DN21" s="63"/>
      <c r="DO21" s="63"/>
      <c r="DP21" s="63"/>
      <c r="DQ21" s="64"/>
      <c r="DR21" s="64"/>
      <c r="DS21" s="64"/>
      <c r="DT21" s="64"/>
      <c r="DU21" s="64"/>
      <c r="DV21" s="64"/>
      <c r="DW21" s="64"/>
      <c r="DX21" s="63"/>
      <c r="DY21" s="63"/>
      <c r="DZ21" s="63"/>
      <c r="EA21" s="63"/>
      <c r="EB21" s="63"/>
      <c r="EC21" s="63"/>
      <c r="ED21" s="63"/>
      <c r="EE21" s="64"/>
      <c r="EF21" s="64"/>
      <c r="EG21" s="64"/>
      <c r="EH21" s="64"/>
      <c r="EI21" s="64"/>
      <c r="EJ21" s="64"/>
      <c r="EK21" s="64"/>
      <c r="EL21" s="63"/>
      <c r="EM21" s="63"/>
      <c r="EN21" s="63"/>
      <c r="EO21" s="63"/>
      <c r="EP21" s="63"/>
      <c r="EQ21" s="63"/>
      <c r="ER21" s="63"/>
      <c r="ES21" s="64"/>
      <c r="ET21" s="64"/>
      <c r="EU21" s="64"/>
      <c r="EV21" s="64"/>
      <c r="EW21" s="64"/>
      <c r="EX21" s="64"/>
      <c r="EY21" s="64"/>
      <c r="EZ21" s="63"/>
      <c r="FA21" s="63"/>
      <c r="FB21" s="63"/>
      <c r="FC21" s="63"/>
      <c r="FD21" s="63"/>
      <c r="FE21" s="63"/>
      <c r="FF21" s="63"/>
      <c r="FG21" s="64"/>
      <c r="FH21" s="64"/>
      <c r="FI21" s="64"/>
      <c r="FJ21" s="64"/>
      <c r="FK21" s="64"/>
      <c r="FL21" s="64"/>
      <c r="FM21" s="64"/>
      <c r="FN21" s="63"/>
      <c r="FO21" s="63"/>
      <c r="FP21" s="63"/>
      <c r="FQ21" s="63"/>
      <c r="FR21" s="63"/>
      <c r="FS21" s="63"/>
      <c r="FT21" s="63"/>
      <c r="FU21" s="64"/>
      <c r="FV21" s="64"/>
      <c r="FW21" s="64"/>
      <c r="FX21" s="64"/>
      <c r="FY21" s="64"/>
      <c r="FZ21" s="64"/>
      <c r="GA21" s="64"/>
      <c r="GB21" s="63"/>
      <c r="GC21" s="63"/>
      <c r="GD21" s="63"/>
      <c r="GE21" s="63"/>
      <c r="GF21" s="63"/>
      <c r="GG21" s="63"/>
      <c r="GH21" s="63"/>
      <c r="GI21" s="64"/>
      <c r="GJ21" s="64"/>
      <c r="GK21" s="64"/>
      <c r="GL21" s="64"/>
      <c r="GM21" s="64"/>
      <c r="GN21" s="64"/>
      <c r="GO21" s="64"/>
      <c r="GP21" s="63"/>
      <c r="GQ21" s="63"/>
      <c r="GR21" s="63"/>
      <c r="GS21" s="63"/>
      <c r="GT21" s="63"/>
      <c r="GU21" s="63"/>
      <c r="GV21" s="63"/>
      <c r="GW21" s="64"/>
      <c r="GX21" s="64"/>
      <c r="GY21" s="64"/>
      <c r="GZ21" s="64"/>
      <c r="HA21" s="64"/>
      <c r="HB21" s="64"/>
      <c r="HC21" s="64"/>
      <c r="HD21" s="63"/>
      <c r="HE21" s="63"/>
      <c r="HF21" s="63"/>
      <c r="HG21" s="63"/>
      <c r="HH21" s="63"/>
      <c r="HI21" s="63"/>
      <c r="HJ21" s="63"/>
      <c r="HK21" s="65" t="n">
        <f aca="false">COUNTIF(B21:HJ21,"A")</f>
        <v>0</v>
      </c>
      <c r="HL21" s="66" t="n">
        <f aca="false">COUNTIF(B21:HJ21,"O")</f>
        <v>0</v>
      </c>
      <c r="HM21" s="67" t="n">
        <f aca="false">COUNTIF(B21:HJ21,"D")</f>
        <v>0</v>
      </c>
      <c r="HN21" s="68" t="n">
        <f aca="false">COUNTIF(B21:HJ21,"N/A")</f>
        <v>0</v>
      </c>
      <c r="HO21" s="69" t="n">
        <f aca="false">IFERROR((HK21+HL21)/(HK21+HL21+HM21),0)</f>
        <v>0</v>
      </c>
    </row>
    <row r="22" customFormat="false" ht="15.75" hidden="false" customHeight="true" outlineLevel="0" collapsed="false">
      <c r="A22" s="62" t="n">
        <f aca="false">Roster!B22</f>
        <v>0</v>
      </c>
      <c r="B22" s="63"/>
      <c r="C22" s="63"/>
      <c r="D22" s="63"/>
      <c r="E22" s="63"/>
      <c r="F22" s="63"/>
      <c r="G22" s="63"/>
      <c r="H22" s="63"/>
      <c r="I22" s="64"/>
      <c r="J22" s="64"/>
      <c r="K22" s="64"/>
      <c r="L22" s="64"/>
      <c r="M22" s="64"/>
      <c r="N22" s="64"/>
      <c r="O22" s="64"/>
      <c r="P22" s="63"/>
      <c r="Q22" s="63"/>
      <c r="R22" s="63"/>
      <c r="S22" s="63"/>
      <c r="T22" s="63"/>
      <c r="U22" s="63"/>
      <c r="V22" s="63"/>
      <c r="W22" s="64"/>
      <c r="X22" s="64"/>
      <c r="Y22" s="64"/>
      <c r="Z22" s="64"/>
      <c r="AA22" s="64"/>
      <c r="AB22" s="64"/>
      <c r="AC22" s="64"/>
      <c r="AD22" s="63"/>
      <c r="AE22" s="63"/>
      <c r="AF22" s="63"/>
      <c r="AG22" s="63"/>
      <c r="AH22" s="63"/>
      <c r="AI22" s="63"/>
      <c r="AJ22" s="63"/>
      <c r="AK22" s="64"/>
      <c r="AL22" s="64"/>
      <c r="AM22" s="64"/>
      <c r="AN22" s="64"/>
      <c r="AO22" s="64"/>
      <c r="AP22" s="64"/>
      <c r="AQ22" s="64"/>
      <c r="AR22" s="63"/>
      <c r="AS22" s="63"/>
      <c r="AT22" s="63"/>
      <c r="AU22" s="63"/>
      <c r="AV22" s="63"/>
      <c r="AW22" s="63"/>
      <c r="AX22" s="63"/>
      <c r="AY22" s="64"/>
      <c r="AZ22" s="64"/>
      <c r="BA22" s="64"/>
      <c r="BB22" s="64"/>
      <c r="BC22" s="64"/>
      <c r="BD22" s="64"/>
      <c r="BE22" s="64"/>
      <c r="BF22" s="63"/>
      <c r="BG22" s="63"/>
      <c r="BH22" s="63"/>
      <c r="BI22" s="63"/>
      <c r="BJ22" s="63"/>
      <c r="BK22" s="63"/>
      <c r="BL22" s="63"/>
      <c r="BM22" s="64"/>
      <c r="BN22" s="64"/>
      <c r="BO22" s="64"/>
      <c r="BP22" s="64"/>
      <c r="BQ22" s="64"/>
      <c r="BR22" s="64"/>
      <c r="BS22" s="64"/>
      <c r="BT22" s="63"/>
      <c r="BU22" s="63"/>
      <c r="BV22" s="63"/>
      <c r="BW22" s="63"/>
      <c r="BX22" s="63"/>
      <c r="BY22" s="63"/>
      <c r="BZ22" s="63"/>
      <c r="CA22" s="64"/>
      <c r="CB22" s="64"/>
      <c r="CC22" s="64"/>
      <c r="CD22" s="64"/>
      <c r="CE22" s="64"/>
      <c r="CF22" s="64"/>
      <c r="CG22" s="64"/>
      <c r="CH22" s="63"/>
      <c r="CI22" s="63"/>
      <c r="CJ22" s="63"/>
      <c r="CK22" s="63"/>
      <c r="CL22" s="63"/>
      <c r="CM22" s="63"/>
      <c r="CN22" s="63"/>
      <c r="CO22" s="64"/>
      <c r="CP22" s="64"/>
      <c r="CQ22" s="64"/>
      <c r="CR22" s="64"/>
      <c r="CS22" s="64"/>
      <c r="CT22" s="64"/>
      <c r="CU22" s="64"/>
      <c r="CV22" s="63"/>
      <c r="CW22" s="63"/>
      <c r="CX22" s="63"/>
      <c r="CY22" s="63"/>
      <c r="CZ22" s="63"/>
      <c r="DA22" s="63"/>
      <c r="DB22" s="63"/>
      <c r="DC22" s="64"/>
      <c r="DD22" s="64"/>
      <c r="DE22" s="64"/>
      <c r="DF22" s="64"/>
      <c r="DG22" s="64"/>
      <c r="DH22" s="64"/>
      <c r="DI22" s="64"/>
      <c r="DJ22" s="63"/>
      <c r="DK22" s="63"/>
      <c r="DL22" s="63"/>
      <c r="DM22" s="63"/>
      <c r="DN22" s="63"/>
      <c r="DO22" s="63"/>
      <c r="DP22" s="63"/>
      <c r="DQ22" s="64"/>
      <c r="DR22" s="64"/>
      <c r="DS22" s="64"/>
      <c r="DT22" s="64"/>
      <c r="DU22" s="64"/>
      <c r="DV22" s="64"/>
      <c r="DW22" s="64"/>
      <c r="DX22" s="63"/>
      <c r="DY22" s="63"/>
      <c r="DZ22" s="63"/>
      <c r="EA22" s="63"/>
      <c r="EB22" s="63"/>
      <c r="EC22" s="63"/>
      <c r="ED22" s="63"/>
      <c r="EE22" s="64"/>
      <c r="EF22" s="64"/>
      <c r="EG22" s="64"/>
      <c r="EH22" s="64"/>
      <c r="EI22" s="64"/>
      <c r="EJ22" s="64"/>
      <c r="EK22" s="64"/>
      <c r="EL22" s="63"/>
      <c r="EM22" s="63"/>
      <c r="EN22" s="63"/>
      <c r="EO22" s="63"/>
      <c r="EP22" s="63"/>
      <c r="EQ22" s="63"/>
      <c r="ER22" s="63"/>
      <c r="ES22" s="64"/>
      <c r="ET22" s="64"/>
      <c r="EU22" s="64"/>
      <c r="EV22" s="64"/>
      <c r="EW22" s="64"/>
      <c r="EX22" s="64"/>
      <c r="EY22" s="64"/>
      <c r="EZ22" s="63"/>
      <c r="FA22" s="63"/>
      <c r="FB22" s="63"/>
      <c r="FC22" s="63"/>
      <c r="FD22" s="63"/>
      <c r="FE22" s="63"/>
      <c r="FF22" s="63"/>
      <c r="FG22" s="64"/>
      <c r="FH22" s="64"/>
      <c r="FI22" s="64"/>
      <c r="FJ22" s="64"/>
      <c r="FK22" s="64"/>
      <c r="FL22" s="64"/>
      <c r="FM22" s="64"/>
      <c r="FN22" s="63"/>
      <c r="FO22" s="63"/>
      <c r="FP22" s="63"/>
      <c r="FQ22" s="63"/>
      <c r="FR22" s="63"/>
      <c r="FS22" s="63"/>
      <c r="FT22" s="63"/>
      <c r="FU22" s="64"/>
      <c r="FV22" s="64"/>
      <c r="FW22" s="64"/>
      <c r="FX22" s="64"/>
      <c r="FY22" s="64"/>
      <c r="FZ22" s="64"/>
      <c r="GA22" s="64"/>
      <c r="GB22" s="63"/>
      <c r="GC22" s="63"/>
      <c r="GD22" s="63"/>
      <c r="GE22" s="63"/>
      <c r="GF22" s="63"/>
      <c r="GG22" s="63"/>
      <c r="GH22" s="63"/>
      <c r="GI22" s="64"/>
      <c r="GJ22" s="64"/>
      <c r="GK22" s="64"/>
      <c r="GL22" s="64"/>
      <c r="GM22" s="64"/>
      <c r="GN22" s="64"/>
      <c r="GO22" s="64"/>
      <c r="GP22" s="63"/>
      <c r="GQ22" s="63"/>
      <c r="GR22" s="63"/>
      <c r="GS22" s="63"/>
      <c r="GT22" s="63"/>
      <c r="GU22" s="63"/>
      <c r="GV22" s="63"/>
      <c r="GW22" s="64"/>
      <c r="GX22" s="64"/>
      <c r="GY22" s="64"/>
      <c r="GZ22" s="64"/>
      <c r="HA22" s="64"/>
      <c r="HB22" s="64"/>
      <c r="HC22" s="64"/>
      <c r="HD22" s="63"/>
      <c r="HE22" s="63"/>
      <c r="HF22" s="63"/>
      <c r="HG22" s="63"/>
      <c r="HH22" s="63"/>
      <c r="HI22" s="63"/>
      <c r="HJ22" s="63"/>
      <c r="HK22" s="65" t="n">
        <f aca="false">COUNTIF(B22:HJ22,"A")</f>
        <v>0</v>
      </c>
      <c r="HL22" s="66" t="n">
        <f aca="false">COUNTIF(B22:HJ22,"O")</f>
        <v>0</v>
      </c>
      <c r="HM22" s="67" t="n">
        <f aca="false">COUNTIF(B22:HJ22,"D")</f>
        <v>0</v>
      </c>
      <c r="HN22" s="68" t="n">
        <f aca="false">COUNTIF(B22:HJ22,"N/A")</f>
        <v>0</v>
      </c>
      <c r="HO22" s="69" t="n">
        <f aca="false">IFERROR((HK22+HL22)/(HK22+HL22+HM22),0)</f>
        <v>0</v>
      </c>
    </row>
    <row r="23" customFormat="false" ht="15.75" hidden="false" customHeight="true" outlineLevel="0" collapsed="false">
      <c r="A23" s="62" t="n">
        <f aca="false">Roster!B23</f>
        <v>0</v>
      </c>
      <c r="B23" s="63"/>
      <c r="C23" s="63"/>
      <c r="D23" s="63"/>
      <c r="E23" s="63"/>
      <c r="F23" s="63"/>
      <c r="G23" s="63"/>
      <c r="H23" s="63"/>
      <c r="I23" s="64"/>
      <c r="J23" s="64"/>
      <c r="K23" s="64"/>
      <c r="L23" s="64"/>
      <c r="M23" s="64"/>
      <c r="N23" s="64"/>
      <c r="O23" s="64"/>
      <c r="P23" s="63"/>
      <c r="Q23" s="63"/>
      <c r="R23" s="63"/>
      <c r="S23" s="63"/>
      <c r="T23" s="63"/>
      <c r="U23" s="63"/>
      <c r="V23" s="63"/>
      <c r="W23" s="64"/>
      <c r="X23" s="64"/>
      <c r="Y23" s="64"/>
      <c r="Z23" s="64"/>
      <c r="AA23" s="64"/>
      <c r="AB23" s="64"/>
      <c r="AC23" s="64"/>
      <c r="AD23" s="63"/>
      <c r="AE23" s="63"/>
      <c r="AF23" s="63"/>
      <c r="AG23" s="63"/>
      <c r="AH23" s="63"/>
      <c r="AI23" s="63"/>
      <c r="AJ23" s="63"/>
      <c r="AK23" s="64"/>
      <c r="AL23" s="64"/>
      <c r="AM23" s="64"/>
      <c r="AN23" s="64"/>
      <c r="AO23" s="64"/>
      <c r="AP23" s="64"/>
      <c r="AQ23" s="64"/>
      <c r="AR23" s="63"/>
      <c r="AS23" s="63"/>
      <c r="AT23" s="63"/>
      <c r="AU23" s="63"/>
      <c r="AV23" s="63"/>
      <c r="AW23" s="63"/>
      <c r="AX23" s="63"/>
      <c r="AY23" s="64"/>
      <c r="AZ23" s="64"/>
      <c r="BA23" s="64"/>
      <c r="BB23" s="64"/>
      <c r="BC23" s="64"/>
      <c r="BD23" s="64"/>
      <c r="BE23" s="64"/>
      <c r="BF23" s="63"/>
      <c r="BG23" s="63"/>
      <c r="BH23" s="63"/>
      <c r="BI23" s="63"/>
      <c r="BJ23" s="63"/>
      <c r="BK23" s="63"/>
      <c r="BL23" s="63"/>
      <c r="BM23" s="64"/>
      <c r="BN23" s="64"/>
      <c r="BO23" s="64"/>
      <c r="BP23" s="64"/>
      <c r="BQ23" s="64"/>
      <c r="BR23" s="64"/>
      <c r="BS23" s="64"/>
      <c r="BT23" s="63"/>
      <c r="BU23" s="63"/>
      <c r="BV23" s="63"/>
      <c r="BW23" s="63"/>
      <c r="BX23" s="63"/>
      <c r="BY23" s="63"/>
      <c r="BZ23" s="63"/>
      <c r="CA23" s="64"/>
      <c r="CB23" s="64"/>
      <c r="CC23" s="64"/>
      <c r="CD23" s="64"/>
      <c r="CE23" s="64"/>
      <c r="CF23" s="64"/>
      <c r="CG23" s="64"/>
      <c r="CH23" s="63"/>
      <c r="CI23" s="63"/>
      <c r="CJ23" s="63"/>
      <c r="CK23" s="63"/>
      <c r="CL23" s="63"/>
      <c r="CM23" s="63"/>
      <c r="CN23" s="63"/>
      <c r="CO23" s="64"/>
      <c r="CP23" s="64"/>
      <c r="CQ23" s="64"/>
      <c r="CR23" s="64"/>
      <c r="CS23" s="64"/>
      <c r="CT23" s="64"/>
      <c r="CU23" s="64"/>
      <c r="CV23" s="63"/>
      <c r="CW23" s="63"/>
      <c r="CX23" s="63"/>
      <c r="CY23" s="63"/>
      <c r="CZ23" s="63"/>
      <c r="DA23" s="63"/>
      <c r="DB23" s="63"/>
      <c r="DC23" s="64"/>
      <c r="DD23" s="64"/>
      <c r="DE23" s="64"/>
      <c r="DF23" s="64"/>
      <c r="DG23" s="64"/>
      <c r="DH23" s="64"/>
      <c r="DI23" s="64"/>
      <c r="DJ23" s="63"/>
      <c r="DK23" s="63"/>
      <c r="DL23" s="63"/>
      <c r="DM23" s="63"/>
      <c r="DN23" s="63"/>
      <c r="DO23" s="63"/>
      <c r="DP23" s="63"/>
      <c r="DQ23" s="64"/>
      <c r="DR23" s="64"/>
      <c r="DS23" s="64"/>
      <c r="DT23" s="64"/>
      <c r="DU23" s="64"/>
      <c r="DV23" s="64"/>
      <c r="DW23" s="64"/>
      <c r="DX23" s="63"/>
      <c r="DY23" s="63"/>
      <c r="DZ23" s="63"/>
      <c r="EA23" s="63"/>
      <c r="EB23" s="63"/>
      <c r="EC23" s="63"/>
      <c r="ED23" s="63"/>
      <c r="EE23" s="64"/>
      <c r="EF23" s="64"/>
      <c r="EG23" s="64"/>
      <c r="EH23" s="64"/>
      <c r="EI23" s="64"/>
      <c r="EJ23" s="64"/>
      <c r="EK23" s="64"/>
      <c r="EL23" s="63"/>
      <c r="EM23" s="63"/>
      <c r="EN23" s="63"/>
      <c r="EO23" s="63"/>
      <c r="EP23" s="63"/>
      <c r="EQ23" s="63"/>
      <c r="ER23" s="63"/>
      <c r="ES23" s="64"/>
      <c r="ET23" s="64"/>
      <c r="EU23" s="64"/>
      <c r="EV23" s="64"/>
      <c r="EW23" s="64"/>
      <c r="EX23" s="64"/>
      <c r="EY23" s="64"/>
      <c r="EZ23" s="63"/>
      <c r="FA23" s="63"/>
      <c r="FB23" s="63"/>
      <c r="FC23" s="63"/>
      <c r="FD23" s="63"/>
      <c r="FE23" s="63"/>
      <c r="FF23" s="63"/>
      <c r="FG23" s="64"/>
      <c r="FH23" s="64"/>
      <c r="FI23" s="64"/>
      <c r="FJ23" s="64"/>
      <c r="FK23" s="64"/>
      <c r="FL23" s="64"/>
      <c r="FM23" s="64"/>
      <c r="FN23" s="63"/>
      <c r="FO23" s="63"/>
      <c r="FP23" s="63"/>
      <c r="FQ23" s="63"/>
      <c r="FR23" s="63"/>
      <c r="FS23" s="63"/>
      <c r="FT23" s="63"/>
      <c r="FU23" s="64"/>
      <c r="FV23" s="64"/>
      <c r="FW23" s="64"/>
      <c r="FX23" s="64"/>
      <c r="FY23" s="64"/>
      <c r="FZ23" s="64"/>
      <c r="GA23" s="64"/>
      <c r="GB23" s="63"/>
      <c r="GC23" s="63"/>
      <c r="GD23" s="63"/>
      <c r="GE23" s="63"/>
      <c r="GF23" s="63"/>
      <c r="GG23" s="63"/>
      <c r="GH23" s="63"/>
      <c r="GI23" s="64"/>
      <c r="GJ23" s="64"/>
      <c r="GK23" s="64"/>
      <c r="GL23" s="64"/>
      <c r="GM23" s="64"/>
      <c r="GN23" s="64"/>
      <c r="GO23" s="64"/>
      <c r="GP23" s="63"/>
      <c r="GQ23" s="63"/>
      <c r="GR23" s="63"/>
      <c r="GS23" s="63"/>
      <c r="GT23" s="63"/>
      <c r="GU23" s="63"/>
      <c r="GV23" s="63"/>
      <c r="GW23" s="64"/>
      <c r="GX23" s="64"/>
      <c r="GY23" s="64"/>
      <c r="GZ23" s="64"/>
      <c r="HA23" s="64"/>
      <c r="HB23" s="64"/>
      <c r="HC23" s="64"/>
      <c r="HD23" s="63"/>
      <c r="HE23" s="63"/>
      <c r="HF23" s="63"/>
      <c r="HG23" s="63"/>
      <c r="HH23" s="63"/>
      <c r="HI23" s="63"/>
      <c r="HJ23" s="63"/>
      <c r="HK23" s="65" t="n">
        <f aca="false">COUNTIF(B23:HJ23,"A")</f>
        <v>0</v>
      </c>
      <c r="HL23" s="66" t="n">
        <f aca="false">COUNTIF(B23:HJ23,"O")</f>
        <v>0</v>
      </c>
      <c r="HM23" s="67" t="n">
        <f aca="false">COUNTIF(B23:HJ23,"D")</f>
        <v>0</v>
      </c>
      <c r="HN23" s="68" t="n">
        <f aca="false">COUNTIF(B23:HJ23,"N/A")</f>
        <v>0</v>
      </c>
      <c r="HO23" s="69" t="n">
        <f aca="false">IFERROR((HK23+HL23)/(HK23+HL23+HM23),0)</f>
        <v>0</v>
      </c>
    </row>
    <row r="24" customFormat="false" ht="15.75" hidden="false" customHeight="true" outlineLevel="0" collapsed="false">
      <c r="A24" s="62" t="n">
        <f aca="false">Roster!B24</f>
        <v>0</v>
      </c>
      <c r="B24" s="63"/>
      <c r="C24" s="63"/>
      <c r="D24" s="63"/>
      <c r="E24" s="63"/>
      <c r="F24" s="63"/>
      <c r="G24" s="63"/>
      <c r="H24" s="63"/>
      <c r="I24" s="64"/>
      <c r="J24" s="64"/>
      <c r="K24" s="64"/>
      <c r="L24" s="64"/>
      <c r="M24" s="64"/>
      <c r="N24" s="64"/>
      <c r="O24" s="64"/>
      <c r="P24" s="63"/>
      <c r="Q24" s="63"/>
      <c r="R24" s="63"/>
      <c r="S24" s="63"/>
      <c r="T24" s="63"/>
      <c r="U24" s="63"/>
      <c r="V24" s="63"/>
      <c r="W24" s="64"/>
      <c r="X24" s="64"/>
      <c r="Y24" s="64"/>
      <c r="Z24" s="64"/>
      <c r="AA24" s="64"/>
      <c r="AB24" s="64"/>
      <c r="AC24" s="64"/>
      <c r="AD24" s="63"/>
      <c r="AE24" s="63"/>
      <c r="AF24" s="63"/>
      <c r="AG24" s="63"/>
      <c r="AH24" s="63"/>
      <c r="AI24" s="63"/>
      <c r="AJ24" s="63"/>
      <c r="AK24" s="64"/>
      <c r="AL24" s="64"/>
      <c r="AM24" s="64"/>
      <c r="AN24" s="64"/>
      <c r="AO24" s="64"/>
      <c r="AP24" s="64"/>
      <c r="AQ24" s="64"/>
      <c r="AR24" s="63"/>
      <c r="AS24" s="63"/>
      <c r="AT24" s="63"/>
      <c r="AU24" s="63"/>
      <c r="AV24" s="63"/>
      <c r="AW24" s="63"/>
      <c r="AX24" s="63"/>
      <c r="AY24" s="64"/>
      <c r="AZ24" s="64"/>
      <c r="BA24" s="64"/>
      <c r="BB24" s="64"/>
      <c r="BC24" s="64"/>
      <c r="BD24" s="64"/>
      <c r="BE24" s="64"/>
      <c r="BF24" s="63"/>
      <c r="BG24" s="63"/>
      <c r="BH24" s="63"/>
      <c r="BI24" s="63"/>
      <c r="BJ24" s="63"/>
      <c r="BK24" s="63"/>
      <c r="BL24" s="63"/>
      <c r="BM24" s="64"/>
      <c r="BN24" s="64"/>
      <c r="BO24" s="64"/>
      <c r="BP24" s="64"/>
      <c r="BQ24" s="64"/>
      <c r="BR24" s="64"/>
      <c r="BS24" s="64"/>
      <c r="BT24" s="63"/>
      <c r="BU24" s="63"/>
      <c r="BV24" s="63"/>
      <c r="BW24" s="63"/>
      <c r="BX24" s="63"/>
      <c r="BY24" s="63"/>
      <c r="BZ24" s="63"/>
      <c r="CA24" s="64"/>
      <c r="CB24" s="64"/>
      <c r="CC24" s="64"/>
      <c r="CD24" s="64"/>
      <c r="CE24" s="64"/>
      <c r="CF24" s="64"/>
      <c r="CG24" s="64"/>
      <c r="CH24" s="63"/>
      <c r="CI24" s="63"/>
      <c r="CJ24" s="63"/>
      <c r="CK24" s="63"/>
      <c r="CL24" s="63"/>
      <c r="CM24" s="63"/>
      <c r="CN24" s="63"/>
      <c r="CO24" s="64"/>
      <c r="CP24" s="64"/>
      <c r="CQ24" s="64"/>
      <c r="CR24" s="64"/>
      <c r="CS24" s="64"/>
      <c r="CT24" s="64"/>
      <c r="CU24" s="64"/>
      <c r="CV24" s="63"/>
      <c r="CW24" s="63"/>
      <c r="CX24" s="63"/>
      <c r="CY24" s="63"/>
      <c r="CZ24" s="63"/>
      <c r="DA24" s="63"/>
      <c r="DB24" s="63"/>
      <c r="DC24" s="64"/>
      <c r="DD24" s="64"/>
      <c r="DE24" s="64"/>
      <c r="DF24" s="64"/>
      <c r="DG24" s="64"/>
      <c r="DH24" s="64"/>
      <c r="DI24" s="64"/>
      <c r="DJ24" s="63"/>
      <c r="DK24" s="63"/>
      <c r="DL24" s="63"/>
      <c r="DM24" s="63"/>
      <c r="DN24" s="63"/>
      <c r="DO24" s="63"/>
      <c r="DP24" s="63"/>
      <c r="DQ24" s="64"/>
      <c r="DR24" s="64"/>
      <c r="DS24" s="64"/>
      <c r="DT24" s="64"/>
      <c r="DU24" s="64"/>
      <c r="DV24" s="64"/>
      <c r="DW24" s="64"/>
      <c r="DX24" s="63"/>
      <c r="DY24" s="63"/>
      <c r="DZ24" s="63"/>
      <c r="EA24" s="63"/>
      <c r="EB24" s="63"/>
      <c r="EC24" s="63"/>
      <c r="ED24" s="63"/>
      <c r="EE24" s="64"/>
      <c r="EF24" s="64"/>
      <c r="EG24" s="64"/>
      <c r="EH24" s="64"/>
      <c r="EI24" s="64"/>
      <c r="EJ24" s="64"/>
      <c r="EK24" s="64"/>
      <c r="EL24" s="63"/>
      <c r="EM24" s="63"/>
      <c r="EN24" s="63"/>
      <c r="EO24" s="63"/>
      <c r="EP24" s="63"/>
      <c r="EQ24" s="63"/>
      <c r="ER24" s="63"/>
      <c r="ES24" s="64"/>
      <c r="ET24" s="64"/>
      <c r="EU24" s="64"/>
      <c r="EV24" s="64"/>
      <c r="EW24" s="64"/>
      <c r="EX24" s="64"/>
      <c r="EY24" s="64"/>
      <c r="EZ24" s="63"/>
      <c r="FA24" s="63"/>
      <c r="FB24" s="63"/>
      <c r="FC24" s="63"/>
      <c r="FD24" s="63"/>
      <c r="FE24" s="63"/>
      <c r="FF24" s="63"/>
      <c r="FG24" s="64"/>
      <c r="FH24" s="64"/>
      <c r="FI24" s="64"/>
      <c r="FJ24" s="64"/>
      <c r="FK24" s="64"/>
      <c r="FL24" s="64"/>
      <c r="FM24" s="64"/>
      <c r="FN24" s="63"/>
      <c r="FO24" s="63"/>
      <c r="FP24" s="63"/>
      <c r="FQ24" s="63"/>
      <c r="FR24" s="63"/>
      <c r="FS24" s="63"/>
      <c r="FT24" s="63"/>
      <c r="FU24" s="64"/>
      <c r="FV24" s="64"/>
      <c r="FW24" s="64"/>
      <c r="FX24" s="64"/>
      <c r="FY24" s="64"/>
      <c r="FZ24" s="64"/>
      <c r="GA24" s="64"/>
      <c r="GB24" s="63"/>
      <c r="GC24" s="63"/>
      <c r="GD24" s="63"/>
      <c r="GE24" s="63"/>
      <c r="GF24" s="63"/>
      <c r="GG24" s="63"/>
      <c r="GH24" s="63"/>
      <c r="GI24" s="64"/>
      <c r="GJ24" s="64"/>
      <c r="GK24" s="64"/>
      <c r="GL24" s="64"/>
      <c r="GM24" s="64"/>
      <c r="GN24" s="64"/>
      <c r="GO24" s="64"/>
      <c r="GP24" s="63"/>
      <c r="GQ24" s="63"/>
      <c r="GR24" s="63"/>
      <c r="GS24" s="63"/>
      <c r="GT24" s="63"/>
      <c r="GU24" s="63"/>
      <c r="GV24" s="63"/>
      <c r="GW24" s="64"/>
      <c r="GX24" s="64"/>
      <c r="GY24" s="64"/>
      <c r="GZ24" s="64"/>
      <c r="HA24" s="64"/>
      <c r="HB24" s="64"/>
      <c r="HC24" s="64"/>
      <c r="HD24" s="63"/>
      <c r="HE24" s="63"/>
      <c r="HF24" s="63"/>
      <c r="HG24" s="63"/>
      <c r="HH24" s="63"/>
      <c r="HI24" s="63"/>
      <c r="HJ24" s="63"/>
      <c r="HK24" s="65" t="n">
        <f aca="false">COUNTIF(B24:HJ24,"A")</f>
        <v>0</v>
      </c>
      <c r="HL24" s="66" t="n">
        <f aca="false">COUNTIF(B24:HJ24,"O")</f>
        <v>0</v>
      </c>
      <c r="HM24" s="67" t="n">
        <f aca="false">COUNTIF(B24:HJ24,"D")</f>
        <v>0</v>
      </c>
      <c r="HN24" s="68" t="n">
        <f aca="false">COUNTIF(B24:HJ24,"N/A")</f>
        <v>0</v>
      </c>
      <c r="HO24" s="69" t="n">
        <f aca="false">IFERROR((HK24+HL24)/(HK24+HL24+HM24),0)</f>
        <v>0</v>
      </c>
    </row>
    <row r="25" customFormat="false" ht="15.75" hidden="false" customHeight="true" outlineLevel="0" collapsed="false">
      <c r="A25" s="62" t="n">
        <f aca="false">Roster!B25</f>
        <v>0</v>
      </c>
      <c r="B25" s="63"/>
      <c r="C25" s="63"/>
      <c r="D25" s="63"/>
      <c r="E25" s="63"/>
      <c r="F25" s="63"/>
      <c r="G25" s="63"/>
      <c r="H25" s="63"/>
      <c r="I25" s="64"/>
      <c r="J25" s="64"/>
      <c r="K25" s="64"/>
      <c r="L25" s="64"/>
      <c r="M25" s="64"/>
      <c r="N25" s="64"/>
      <c r="O25" s="64"/>
      <c r="P25" s="63"/>
      <c r="Q25" s="63"/>
      <c r="R25" s="63"/>
      <c r="S25" s="63"/>
      <c r="T25" s="63"/>
      <c r="U25" s="63"/>
      <c r="V25" s="63"/>
      <c r="W25" s="64"/>
      <c r="X25" s="64"/>
      <c r="Y25" s="64"/>
      <c r="Z25" s="64"/>
      <c r="AA25" s="64"/>
      <c r="AB25" s="64"/>
      <c r="AC25" s="64"/>
      <c r="AD25" s="63"/>
      <c r="AE25" s="63"/>
      <c r="AF25" s="63"/>
      <c r="AG25" s="63"/>
      <c r="AH25" s="63"/>
      <c r="AI25" s="63"/>
      <c r="AJ25" s="63"/>
      <c r="AK25" s="64"/>
      <c r="AL25" s="64"/>
      <c r="AM25" s="64"/>
      <c r="AN25" s="64"/>
      <c r="AO25" s="64"/>
      <c r="AP25" s="64"/>
      <c r="AQ25" s="64"/>
      <c r="AR25" s="63"/>
      <c r="AS25" s="63"/>
      <c r="AT25" s="63"/>
      <c r="AU25" s="63"/>
      <c r="AV25" s="63"/>
      <c r="AW25" s="63"/>
      <c r="AX25" s="63"/>
      <c r="AY25" s="64"/>
      <c r="AZ25" s="64"/>
      <c r="BA25" s="64"/>
      <c r="BB25" s="64"/>
      <c r="BC25" s="64"/>
      <c r="BD25" s="64"/>
      <c r="BE25" s="64"/>
      <c r="BF25" s="63"/>
      <c r="BG25" s="63"/>
      <c r="BH25" s="63"/>
      <c r="BI25" s="63"/>
      <c r="BJ25" s="63"/>
      <c r="BK25" s="63"/>
      <c r="BL25" s="63"/>
      <c r="BM25" s="64"/>
      <c r="BN25" s="64"/>
      <c r="BO25" s="64"/>
      <c r="BP25" s="64"/>
      <c r="BQ25" s="64"/>
      <c r="BR25" s="64"/>
      <c r="BS25" s="64"/>
      <c r="BT25" s="63"/>
      <c r="BU25" s="63"/>
      <c r="BV25" s="63"/>
      <c r="BW25" s="63"/>
      <c r="BX25" s="63"/>
      <c r="BY25" s="63"/>
      <c r="BZ25" s="63"/>
      <c r="CA25" s="64"/>
      <c r="CB25" s="64"/>
      <c r="CC25" s="64"/>
      <c r="CD25" s="64"/>
      <c r="CE25" s="64"/>
      <c r="CF25" s="64"/>
      <c r="CG25" s="64"/>
      <c r="CH25" s="63"/>
      <c r="CI25" s="63"/>
      <c r="CJ25" s="63"/>
      <c r="CK25" s="63"/>
      <c r="CL25" s="63"/>
      <c r="CM25" s="63"/>
      <c r="CN25" s="63"/>
      <c r="CO25" s="64"/>
      <c r="CP25" s="64"/>
      <c r="CQ25" s="64"/>
      <c r="CR25" s="64"/>
      <c r="CS25" s="64"/>
      <c r="CT25" s="64"/>
      <c r="CU25" s="64"/>
      <c r="CV25" s="63"/>
      <c r="CW25" s="63"/>
      <c r="CX25" s="63"/>
      <c r="CY25" s="63"/>
      <c r="CZ25" s="63"/>
      <c r="DA25" s="63"/>
      <c r="DB25" s="63"/>
      <c r="DC25" s="64"/>
      <c r="DD25" s="64"/>
      <c r="DE25" s="64"/>
      <c r="DF25" s="64"/>
      <c r="DG25" s="64"/>
      <c r="DH25" s="64"/>
      <c r="DI25" s="64"/>
      <c r="DJ25" s="63"/>
      <c r="DK25" s="63"/>
      <c r="DL25" s="63"/>
      <c r="DM25" s="63"/>
      <c r="DN25" s="63"/>
      <c r="DO25" s="63"/>
      <c r="DP25" s="63"/>
      <c r="DQ25" s="64"/>
      <c r="DR25" s="64"/>
      <c r="DS25" s="64"/>
      <c r="DT25" s="64"/>
      <c r="DU25" s="64"/>
      <c r="DV25" s="64"/>
      <c r="DW25" s="64"/>
      <c r="DX25" s="63"/>
      <c r="DY25" s="63"/>
      <c r="DZ25" s="63"/>
      <c r="EA25" s="63"/>
      <c r="EB25" s="63"/>
      <c r="EC25" s="63"/>
      <c r="ED25" s="63"/>
      <c r="EE25" s="64"/>
      <c r="EF25" s="64"/>
      <c r="EG25" s="64"/>
      <c r="EH25" s="64"/>
      <c r="EI25" s="64"/>
      <c r="EJ25" s="64"/>
      <c r="EK25" s="64"/>
      <c r="EL25" s="63"/>
      <c r="EM25" s="63"/>
      <c r="EN25" s="63"/>
      <c r="EO25" s="63"/>
      <c r="EP25" s="63"/>
      <c r="EQ25" s="63"/>
      <c r="ER25" s="63"/>
      <c r="ES25" s="64"/>
      <c r="ET25" s="64"/>
      <c r="EU25" s="64"/>
      <c r="EV25" s="64"/>
      <c r="EW25" s="64"/>
      <c r="EX25" s="64"/>
      <c r="EY25" s="64"/>
      <c r="EZ25" s="63"/>
      <c r="FA25" s="63"/>
      <c r="FB25" s="63"/>
      <c r="FC25" s="63"/>
      <c r="FD25" s="63"/>
      <c r="FE25" s="63"/>
      <c r="FF25" s="63"/>
      <c r="FG25" s="64"/>
      <c r="FH25" s="64"/>
      <c r="FI25" s="64"/>
      <c r="FJ25" s="64"/>
      <c r="FK25" s="64"/>
      <c r="FL25" s="64"/>
      <c r="FM25" s="64"/>
      <c r="FN25" s="63"/>
      <c r="FO25" s="63"/>
      <c r="FP25" s="63"/>
      <c r="FQ25" s="63"/>
      <c r="FR25" s="63"/>
      <c r="FS25" s="63"/>
      <c r="FT25" s="63"/>
      <c r="FU25" s="64"/>
      <c r="FV25" s="64"/>
      <c r="FW25" s="64"/>
      <c r="FX25" s="64"/>
      <c r="FY25" s="64"/>
      <c r="FZ25" s="64"/>
      <c r="GA25" s="64"/>
      <c r="GB25" s="63"/>
      <c r="GC25" s="63"/>
      <c r="GD25" s="63"/>
      <c r="GE25" s="63"/>
      <c r="GF25" s="63"/>
      <c r="GG25" s="63"/>
      <c r="GH25" s="63"/>
      <c r="GI25" s="64"/>
      <c r="GJ25" s="64"/>
      <c r="GK25" s="64"/>
      <c r="GL25" s="64"/>
      <c r="GM25" s="64"/>
      <c r="GN25" s="64"/>
      <c r="GO25" s="64"/>
      <c r="GP25" s="63"/>
      <c r="GQ25" s="63"/>
      <c r="GR25" s="63"/>
      <c r="GS25" s="63"/>
      <c r="GT25" s="63"/>
      <c r="GU25" s="63"/>
      <c r="GV25" s="63"/>
      <c r="GW25" s="64"/>
      <c r="GX25" s="64"/>
      <c r="GY25" s="64"/>
      <c r="GZ25" s="64"/>
      <c r="HA25" s="64"/>
      <c r="HB25" s="64"/>
      <c r="HC25" s="64"/>
      <c r="HD25" s="63"/>
      <c r="HE25" s="63"/>
      <c r="HF25" s="63"/>
      <c r="HG25" s="63"/>
      <c r="HH25" s="63"/>
      <c r="HI25" s="63"/>
      <c r="HJ25" s="63"/>
      <c r="HK25" s="65" t="n">
        <f aca="false">COUNTIF(B25:HJ25,"A")</f>
        <v>0</v>
      </c>
      <c r="HL25" s="66" t="n">
        <f aca="false">COUNTIF(B25:HJ25,"O")</f>
        <v>0</v>
      </c>
      <c r="HM25" s="67" t="n">
        <f aca="false">COUNTIF(B25:HJ25,"D")</f>
        <v>0</v>
      </c>
      <c r="HN25" s="68" t="n">
        <f aca="false">COUNTIF(B25:HJ25,"N/A")</f>
        <v>0</v>
      </c>
      <c r="HO25" s="69" t="n">
        <f aca="false">IFERROR((HK25+HL25)/(HK25+HL25+HM25),0)</f>
        <v>0</v>
      </c>
    </row>
    <row r="26" customFormat="false" ht="15.75" hidden="false" customHeight="true" outlineLevel="0" collapsed="false">
      <c r="A26" s="62" t="n">
        <f aca="false">Roster!B26</f>
        <v>0</v>
      </c>
      <c r="B26" s="63"/>
      <c r="C26" s="63"/>
      <c r="D26" s="63"/>
      <c r="E26" s="63"/>
      <c r="F26" s="63"/>
      <c r="G26" s="63"/>
      <c r="H26" s="63"/>
      <c r="I26" s="64"/>
      <c r="J26" s="64"/>
      <c r="K26" s="64"/>
      <c r="L26" s="64"/>
      <c r="M26" s="64"/>
      <c r="N26" s="64"/>
      <c r="O26" s="64"/>
      <c r="P26" s="63"/>
      <c r="Q26" s="63"/>
      <c r="R26" s="63"/>
      <c r="S26" s="63"/>
      <c r="T26" s="63"/>
      <c r="U26" s="63"/>
      <c r="V26" s="63"/>
      <c r="W26" s="64"/>
      <c r="X26" s="64"/>
      <c r="Y26" s="64"/>
      <c r="Z26" s="64"/>
      <c r="AA26" s="64"/>
      <c r="AB26" s="64"/>
      <c r="AC26" s="64"/>
      <c r="AD26" s="63"/>
      <c r="AE26" s="63"/>
      <c r="AF26" s="63"/>
      <c r="AG26" s="63"/>
      <c r="AH26" s="63"/>
      <c r="AI26" s="63"/>
      <c r="AJ26" s="63"/>
      <c r="AK26" s="64"/>
      <c r="AL26" s="64"/>
      <c r="AM26" s="64"/>
      <c r="AN26" s="64"/>
      <c r="AO26" s="64"/>
      <c r="AP26" s="64"/>
      <c r="AQ26" s="64"/>
      <c r="AR26" s="63"/>
      <c r="AS26" s="63"/>
      <c r="AT26" s="63"/>
      <c r="AU26" s="63"/>
      <c r="AV26" s="63"/>
      <c r="AW26" s="63"/>
      <c r="AX26" s="63"/>
      <c r="AY26" s="64"/>
      <c r="AZ26" s="64"/>
      <c r="BA26" s="64"/>
      <c r="BB26" s="64"/>
      <c r="BC26" s="64"/>
      <c r="BD26" s="64"/>
      <c r="BE26" s="64"/>
      <c r="BF26" s="63"/>
      <c r="BG26" s="63"/>
      <c r="BH26" s="63"/>
      <c r="BI26" s="63"/>
      <c r="BJ26" s="63"/>
      <c r="BK26" s="63"/>
      <c r="BL26" s="63"/>
      <c r="BM26" s="64"/>
      <c r="BN26" s="64"/>
      <c r="BO26" s="64"/>
      <c r="BP26" s="64"/>
      <c r="BQ26" s="64"/>
      <c r="BR26" s="64"/>
      <c r="BS26" s="64"/>
      <c r="BT26" s="63"/>
      <c r="BU26" s="63"/>
      <c r="BV26" s="63"/>
      <c r="BW26" s="63"/>
      <c r="BX26" s="63"/>
      <c r="BY26" s="63"/>
      <c r="BZ26" s="63"/>
      <c r="CA26" s="64"/>
      <c r="CB26" s="64"/>
      <c r="CC26" s="64"/>
      <c r="CD26" s="64"/>
      <c r="CE26" s="64"/>
      <c r="CF26" s="64"/>
      <c r="CG26" s="64"/>
      <c r="CH26" s="63"/>
      <c r="CI26" s="63"/>
      <c r="CJ26" s="63"/>
      <c r="CK26" s="63"/>
      <c r="CL26" s="63"/>
      <c r="CM26" s="63"/>
      <c r="CN26" s="63"/>
      <c r="CO26" s="64"/>
      <c r="CP26" s="64"/>
      <c r="CQ26" s="64"/>
      <c r="CR26" s="64"/>
      <c r="CS26" s="64"/>
      <c r="CT26" s="64"/>
      <c r="CU26" s="64"/>
      <c r="CV26" s="63"/>
      <c r="CW26" s="63"/>
      <c r="CX26" s="63"/>
      <c r="CY26" s="63"/>
      <c r="CZ26" s="63"/>
      <c r="DA26" s="63"/>
      <c r="DB26" s="63"/>
      <c r="DC26" s="64"/>
      <c r="DD26" s="64"/>
      <c r="DE26" s="64"/>
      <c r="DF26" s="64"/>
      <c r="DG26" s="64"/>
      <c r="DH26" s="64"/>
      <c r="DI26" s="64"/>
      <c r="DJ26" s="63"/>
      <c r="DK26" s="63"/>
      <c r="DL26" s="63"/>
      <c r="DM26" s="63"/>
      <c r="DN26" s="63"/>
      <c r="DO26" s="63"/>
      <c r="DP26" s="63"/>
      <c r="DQ26" s="64"/>
      <c r="DR26" s="64"/>
      <c r="DS26" s="64"/>
      <c r="DT26" s="64"/>
      <c r="DU26" s="64"/>
      <c r="DV26" s="64"/>
      <c r="DW26" s="64"/>
      <c r="DX26" s="63"/>
      <c r="DY26" s="63"/>
      <c r="DZ26" s="63"/>
      <c r="EA26" s="63"/>
      <c r="EB26" s="63"/>
      <c r="EC26" s="63"/>
      <c r="ED26" s="63"/>
      <c r="EE26" s="64"/>
      <c r="EF26" s="64"/>
      <c r="EG26" s="64"/>
      <c r="EH26" s="64"/>
      <c r="EI26" s="64"/>
      <c r="EJ26" s="64"/>
      <c r="EK26" s="64"/>
      <c r="EL26" s="63"/>
      <c r="EM26" s="63"/>
      <c r="EN26" s="63"/>
      <c r="EO26" s="63"/>
      <c r="EP26" s="63"/>
      <c r="EQ26" s="63"/>
      <c r="ER26" s="63"/>
      <c r="ES26" s="64"/>
      <c r="ET26" s="64"/>
      <c r="EU26" s="64"/>
      <c r="EV26" s="64"/>
      <c r="EW26" s="64"/>
      <c r="EX26" s="64"/>
      <c r="EY26" s="64"/>
      <c r="EZ26" s="63"/>
      <c r="FA26" s="63"/>
      <c r="FB26" s="63"/>
      <c r="FC26" s="63"/>
      <c r="FD26" s="63"/>
      <c r="FE26" s="63"/>
      <c r="FF26" s="63"/>
      <c r="FG26" s="64"/>
      <c r="FH26" s="64"/>
      <c r="FI26" s="64"/>
      <c r="FJ26" s="64"/>
      <c r="FK26" s="64"/>
      <c r="FL26" s="64"/>
      <c r="FM26" s="64"/>
      <c r="FN26" s="63"/>
      <c r="FO26" s="63"/>
      <c r="FP26" s="63"/>
      <c r="FQ26" s="63"/>
      <c r="FR26" s="63"/>
      <c r="FS26" s="63"/>
      <c r="FT26" s="63"/>
      <c r="FU26" s="64"/>
      <c r="FV26" s="64"/>
      <c r="FW26" s="64"/>
      <c r="FX26" s="64"/>
      <c r="FY26" s="64"/>
      <c r="FZ26" s="64"/>
      <c r="GA26" s="64"/>
      <c r="GB26" s="63"/>
      <c r="GC26" s="63"/>
      <c r="GD26" s="63"/>
      <c r="GE26" s="63"/>
      <c r="GF26" s="63"/>
      <c r="GG26" s="63"/>
      <c r="GH26" s="63"/>
      <c r="GI26" s="64"/>
      <c r="GJ26" s="64"/>
      <c r="GK26" s="64"/>
      <c r="GL26" s="64"/>
      <c r="GM26" s="64"/>
      <c r="GN26" s="64"/>
      <c r="GO26" s="64"/>
      <c r="GP26" s="63"/>
      <c r="GQ26" s="63"/>
      <c r="GR26" s="63"/>
      <c r="GS26" s="63"/>
      <c r="GT26" s="63"/>
      <c r="GU26" s="63"/>
      <c r="GV26" s="63"/>
      <c r="GW26" s="64"/>
      <c r="GX26" s="64"/>
      <c r="GY26" s="64"/>
      <c r="GZ26" s="64"/>
      <c r="HA26" s="64"/>
      <c r="HB26" s="64"/>
      <c r="HC26" s="64"/>
      <c r="HD26" s="63"/>
      <c r="HE26" s="63"/>
      <c r="HF26" s="63"/>
      <c r="HG26" s="63"/>
      <c r="HH26" s="63"/>
      <c r="HI26" s="63"/>
      <c r="HJ26" s="63"/>
      <c r="HK26" s="65" t="n">
        <f aca="false">COUNTIF(B26:HJ26,"A")</f>
        <v>0</v>
      </c>
      <c r="HL26" s="66" t="n">
        <f aca="false">COUNTIF(B26:HJ26,"O")</f>
        <v>0</v>
      </c>
      <c r="HM26" s="67" t="n">
        <f aca="false">COUNTIF(B26:HJ26,"D")</f>
        <v>0</v>
      </c>
      <c r="HN26" s="68" t="n">
        <f aca="false">COUNTIF(B26:HJ26,"N/A")</f>
        <v>0</v>
      </c>
      <c r="HO26" s="69" t="n">
        <f aca="false">IFERROR((HK26+HL26)/(HK26+HL26+HM26),0)</f>
        <v>0</v>
      </c>
    </row>
    <row r="27" customFormat="false" ht="15.75" hidden="false" customHeight="true" outlineLevel="0" collapsed="false">
      <c r="A27" s="62" t="n">
        <f aca="false">Roster!B27</f>
        <v>0</v>
      </c>
      <c r="B27" s="63"/>
      <c r="C27" s="63"/>
      <c r="D27" s="63"/>
      <c r="E27" s="63"/>
      <c r="F27" s="63"/>
      <c r="G27" s="63"/>
      <c r="H27" s="63"/>
      <c r="I27" s="64"/>
      <c r="J27" s="64"/>
      <c r="K27" s="64"/>
      <c r="L27" s="64"/>
      <c r="M27" s="64"/>
      <c r="N27" s="64"/>
      <c r="O27" s="64"/>
      <c r="P27" s="63"/>
      <c r="Q27" s="63"/>
      <c r="R27" s="63"/>
      <c r="S27" s="63"/>
      <c r="T27" s="63"/>
      <c r="U27" s="63"/>
      <c r="V27" s="63"/>
      <c r="W27" s="64"/>
      <c r="X27" s="64"/>
      <c r="Y27" s="64"/>
      <c r="Z27" s="64"/>
      <c r="AA27" s="64"/>
      <c r="AB27" s="64"/>
      <c r="AC27" s="64"/>
      <c r="AD27" s="63"/>
      <c r="AE27" s="63"/>
      <c r="AF27" s="63"/>
      <c r="AG27" s="63"/>
      <c r="AH27" s="63"/>
      <c r="AI27" s="63"/>
      <c r="AJ27" s="63"/>
      <c r="AK27" s="64"/>
      <c r="AL27" s="64"/>
      <c r="AM27" s="64"/>
      <c r="AN27" s="64"/>
      <c r="AO27" s="64"/>
      <c r="AP27" s="64"/>
      <c r="AQ27" s="64"/>
      <c r="AR27" s="63"/>
      <c r="AS27" s="63"/>
      <c r="AT27" s="63"/>
      <c r="AU27" s="63"/>
      <c r="AV27" s="63"/>
      <c r="AW27" s="63"/>
      <c r="AX27" s="63"/>
      <c r="AY27" s="64"/>
      <c r="AZ27" s="64"/>
      <c r="BA27" s="64"/>
      <c r="BB27" s="64"/>
      <c r="BC27" s="64"/>
      <c r="BD27" s="64"/>
      <c r="BE27" s="64"/>
      <c r="BF27" s="63"/>
      <c r="BG27" s="63"/>
      <c r="BH27" s="63"/>
      <c r="BI27" s="63"/>
      <c r="BJ27" s="63"/>
      <c r="BK27" s="63"/>
      <c r="BL27" s="63"/>
      <c r="BM27" s="64"/>
      <c r="BN27" s="64"/>
      <c r="BO27" s="64"/>
      <c r="BP27" s="64"/>
      <c r="BQ27" s="64"/>
      <c r="BR27" s="64"/>
      <c r="BS27" s="64"/>
      <c r="BT27" s="63"/>
      <c r="BU27" s="63"/>
      <c r="BV27" s="63"/>
      <c r="BW27" s="63"/>
      <c r="BX27" s="63"/>
      <c r="BY27" s="63"/>
      <c r="BZ27" s="63"/>
      <c r="CA27" s="64"/>
      <c r="CB27" s="64"/>
      <c r="CC27" s="64"/>
      <c r="CD27" s="64"/>
      <c r="CE27" s="64"/>
      <c r="CF27" s="64"/>
      <c r="CG27" s="64"/>
      <c r="CH27" s="63"/>
      <c r="CI27" s="63"/>
      <c r="CJ27" s="63"/>
      <c r="CK27" s="63"/>
      <c r="CL27" s="63"/>
      <c r="CM27" s="63"/>
      <c r="CN27" s="63"/>
      <c r="CO27" s="64"/>
      <c r="CP27" s="64"/>
      <c r="CQ27" s="64"/>
      <c r="CR27" s="64"/>
      <c r="CS27" s="64"/>
      <c r="CT27" s="64"/>
      <c r="CU27" s="64"/>
      <c r="CV27" s="63"/>
      <c r="CW27" s="63"/>
      <c r="CX27" s="63"/>
      <c r="CY27" s="63"/>
      <c r="CZ27" s="63"/>
      <c r="DA27" s="63"/>
      <c r="DB27" s="63"/>
      <c r="DC27" s="64"/>
      <c r="DD27" s="64"/>
      <c r="DE27" s="64"/>
      <c r="DF27" s="64"/>
      <c r="DG27" s="64"/>
      <c r="DH27" s="64"/>
      <c r="DI27" s="64"/>
      <c r="DJ27" s="63"/>
      <c r="DK27" s="63"/>
      <c r="DL27" s="63"/>
      <c r="DM27" s="63"/>
      <c r="DN27" s="63"/>
      <c r="DO27" s="63"/>
      <c r="DP27" s="63"/>
      <c r="DQ27" s="64"/>
      <c r="DR27" s="64"/>
      <c r="DS27" s="64"/>
      <c r="DT27" s="64"/>
      <c r="DU27" s="64"/>
      <c r="DV27" s="64"/>
      <c r="DW27" s="64"/>
      <c r="DX27" s="63"/>
      <c r="DY27" s="63"/>
      <c r="DZ27" s="63"/>
      <c r="EA27" s="63"/>
      <c r="EB27" s="63"/>
      <c r="EC27" s="63"/>
      <c r="ED27" s="63"/>
      <c r="EE27" s="64"/>
      <c r="EF27" s="64"/>
      <c r="EG27" s="64"/>
      <c r="EH27" s="64"/>
      <c r="EI27" s="64"/>
      <c r="EJ27" s="64"/>
      <c r="EK27" s="64"/>
      <c r="EL27" s="63"/>
      <c r="EM27" s="63"/>
      <c r="EN27" s="63"/>
      <c r="EO27" s="63"/>
      <c r="EP27" s="63"/>
      <c r="EQ27" s="63"/>
      <c r="ER27" s="63"/>
      <c r="ES27" s="64"/>
      <c r="ET27" s="64"/>
      <c r="EU27" s="64"/>
      <c r="EV27" s="64"/>
      <c r="EW27" s="64"/>
      <c r="EX27" s="64"/>
      <c r="EY27" s="64"/>
      <c r="EZ27" s="63"/>
      <c r="FA27" s="63"/>
      <c r="FB27" s="63"/>
      <c r="FC27" s="63"/>
      <c r="FD27" s="63"/>
      <c r="FE27" s="63"/>
      <c r="FF27" s="63"/>
      <c r="FG27" s="64"/>
      <c r="FH27" s="64"/>
      <c r="FI27" s="64"/>
      <c r="FJ27" s="64"/>
      <c r="FK27" s="64"/>
      <c r="FL27" s="64"/>
      <c r="FM27" s="64"/>
      <c r="FN27" s="63"/>
      <c r="FO27" s="63"/>
      <c r="FP27" s="63"/>
      <c r="FQ27" s="63"/>
      <c r="FR27" s="63"/>
      <c r="FS27" s="63"/>
      <c r="FT27" s="63"/>
      <c r="FU27" s="64"/>
      <c r="FV27" s="64"/>
      <c r="FW27" s="64"/>
      <c r="FX27" s="64"/>
      <c r="FY27" s="64"/>
      <c r="FZ27" s="64"/>
      <c r="GA27" s="64"/>
      <c r="GB27" s="63"/>
      <c r="GC27" s="63"/>
      <c r="GD27" s="63"/>
      <c r="GE27" s="63"/>
      <c r="GF27" s="63"/>
      <c r="GG27" s="63"/>
      <c r="GH27" s="63"/>
      <c r="GI27" s="64"/>
      <c r="GJ27" s="64"/>
      <c r="GK27" s="64"/>
      <c r="GL27" s="64"/>
      <c r="GM27" s="64"/>
      <c r="GN27" s="64"/>
      <c r="GO27" s="64"/>
      <c r="GP27" s="63"/>
      <c r="GQ27" s="63"/>
      <c r="GR27" s="63"/>
      <c r="GS27" s="63"/>
      <c r="GT27" s="63"/>
      <c r="GU27" s="63"/>
      <c r="GV27" s="63"/>
      <c r="GW27" s="64"/>
      <c r="GX27" s="64"/>
      <c r="GY27" s="64"/>
      <c r="GZ27" s="64"/>
      <c r="HA27" s="64"/>
      <c r="HB27" s="64"/>
      <c r="HC27" s="64"/>
      <c r="HD27" s="63"/>
      <c r="HE27" s="63"/>
      <c r="HF27" s="63"/>
      <c r="HG27" s="63"/>
      <c r="HH27" s="63"/>
      <c r="HI27" s="63"/>
      <c r="HJ27" s="63"/>
      <c r="HK27" s="65" t="n">
        <f aca="false">COUNTIF(B27:HJ27,"A")</f>
        <v>0</v>
      </c>
      <c r="HL27" s="66" t="n">
        <f aca="false">COUNTIF(B27:HJ27,"O")</f>
        <v>0</v>
      </c>
      <c r="HM27" s="67" t="n">
        <f aca="false">COUNTIF(B27:HJ27,"D")</f>
        <v>0</v>
      </c>
      <c r="HN27" s="68" t="n">
        <f aca="false">COUNTIF(B27:HJ27,"N/A")</f>
        <v>0</v>
      </c>
      <c r="HO27" s="69" t="n">
        <f aca="false">IFERROR((HK27+HL27)/(HK27+HL27+HM27),0)</f>
        <v>0</v>
      </c>
    </row>
    <row r="28" customFormat="false" ht="15.75" hidden="false" customHeight="true" outlineLevel="0" collapsed="false">
      <c r="A28" s="62" t="n">
        <f aca="false">Roster!B28</f>
        <v>0</v>
      </c>
      <c r="B28" s="63"/>
      <c r="C28" s="63"/>
      <c r="D28" s="63"/>
      <c r="E28" s="63"/>
      <c r="F28" s="63"/>
      <c r="G28" s="63"/>
      <c r="H28" s="63"/>
      <c r="I28" s="64"/>
      <c r="J28" s="64"/>
      <c r="K28" s="64"/>
      <c r="L28" s="64"/>
      <c r="M28" s="64"/>
      <c r="N28" s="64"/>
      <c r="O28" s="64"/>
      <c r="P28" s="63"/>
      <c r="Q28" s="63"/>
      <c r="R28" s="63"/>
      <c r="S28" s="63"/>
      <c r="T28" s="63"/>
      <c r="U28" s="63"/>
      <c r="V28" s="63"/>
      <c r="W28" s="64"/>
      <c r="X28" s="64"/>
      <c r="Y28" s="64"/>
      <c r="Z28" s="64"/>
      <c r="AA28" s="64"/>
      <c r="AB28" s="64"/>
      <c r="AC28" s="64"/>
      <c r="AD28" s="63"/>
      <c r="AE28" s="63"/>
      <c r="AF28" s="63"/>
      <c r="AG28" s="63"/>
      <c r="AH28" s="63"/>
      <c r="AI28" s="63"/>
      <c r="AJ28" s="63"/>
      <c r="AK28" s="64"/>
      <c r="AL28" s="64"/>
      <c r="AM28" s="64"/>
      <c r="AN28" s="64"/>
      <c r="AO28" s="64"/>
      <c r="AP28" s="64"/>
      <c r="AQ28" s="64"/>
      <c r="AR28" s="63"/>
      <c r="AS28" s="63"/>
      <c r="AT28" s="63"/>
      <c r="AU28" s="63"/>
      <c r="AV28" s="63"/>
      <c r="AW28" s="63"/>
      <c r="AX28" s="63"/>
      <c r="AY28" s="64"/>
      <c r="AZ28" s="64"/>
      <c r="BA28" s="64"/>
      <c r="BB28" s="64"/>
      <c r="BC28" s="64"/>
      <c r="BD28" s="64"/>
      <c r="BE28" s="64"/>
      <c r="BF28" s="63"/>
      <c r="BG28" s="63"/>
      <c r="BH28" s="63"/>
      <c r="BI28" s="63"/>
      <c r="BJ28" s="63"/>
      <c r="BK28" s="63"/>
      <c r="BL28" s="63"/>
      <c r="BM28" s="64"/>
      <c r="BN28" s="64"/>
      <c r="BO28" s="64"/>
      <c r="BP28" s="64"/>
      <c r="BQ28" s="64"/>
      <c r="BR28" s="64"/>
      <c r="BS28" s="64"/>
      <c r="BT28" s="63"/>
      <c r="BU28" s="63"/>
      <c r="BV28" s="63"/>
      <c r="BW28" s="63"/>
      <c r="BX28" s="63"/>
      <c r="BY28" s="63"/>
      <c r="BZ28" s="63"/>
      <c r="CA28" s="64"/>
      <c r="CB28" s="64"/>
      <c r="CC28" s="64"/>
      <c r="CD28" s="64"/>
      <c r="CE28" s="64"/>
      <c r="CF28" s="64"/>
      <c r="CG28" s="64"/>
      <c r="CH28" s="63"/>
      <c r="CI28" s="63"/>
      <c r="CJ28" s="63"/>
      <c r="CK28" s="63"/>
      <c r="CL28" s="63"/>
      <c r="CM28" s="63"/>
      <c r="CN28" s="63"/>
      <c r="CO28" s="64"/>
      <c r="CP28" s="64"/>
      <c r="CQ28" s="64"/>
      <c r="CR28" s="64"/>
      <c r="CS28" s="64"/>
      <c r="CT28" s="64"/>
      <c r="CU28" s="64"/>
      <c r="CV28" s="63"/>
      <c r="CW28" s="63"/>
      <c r="CX28" s="63"/>
      <c r="CY28" s="63"/>
      <c r="CZ28" s="63"/>
      <c r="DA28" s="63"/>
      <c r="DB28" s="63"/>
      <c r="DC28" s="64"/>
      <c r="DD28" s="64"/>
      <c r="DE28" s="64"/>
      <c r="DF28" s="64"/>
      <c r="DG28" s="64"/>
      <c r="DH28" s="64"/>
      <c r="DI28" s="64"/>
      <c r="DJ28" s="63"/>
      <c r="DK28" s="63"/>
      <c r="DL28" s="63"/>
      <c r="DM28" s="63"/>
      <c r="DN28" s="63"/>
      <c r="DO28" s="63"/>
      <c r="DP28" s="63"/>
      <c r="DQ28" s="64"/>
      <c r="DR28" s="64"/>
      <c r="DS28" s="64"/>
      <c r="DT28" s="64"/>
      <c r="DU28" s="64"/>
      <c r="DV28" s="64"/>
      <c r="DW28" s="64"/>
      <c r="DX28" s="63"/>
      <c r="DY28" s="63"/>
      <c r="DZ28" s="63"/>
      <c r="EA28" s="63"/>
      <c r="EB28" s="63"/>
      <c r="EC28" s="63"/>
      <c r="ED28" s="63"/>
      <c r="EE28" s="64"/>
      <c r="EF28" s="64"/>
      <c r="EG28" s="64"/>
      <c r="EH28" s="64"/>
      <c r="EI28" s="64"/>
      <c r="EJ28" s="64"/>
      <c r="EK28" s="64"/>
      <c r="EL28" s="63"/>
      <c r="EM28" s="63"/>
      <c r="EN28" s="63"/>
      <c r="EO28" s="63"/>
      <c r="EP28" s="63"/>
      <c r="EQ28" s="63"/>
      <c r="ER28" s="63"/>
      <c r="ES28" s="64"/>
      <c r="ET28" s="64"/>
      <c r="EU28" s="64"/>
      <c r="EV28" s="64"/>
      <c r="EW28" s="64"/>
      <c r="EX28" s="64"/>
      <c r="EY28" s="64"/>
      <c r="EZ28" s="63"/>
      <c r="FA28" s="63"/>
      <c r="FB28" s="63"/>
      <c r="FC28" s="63"/>
      <c r="FD28" s="63"/>
      <c r="FE28" s="63"/>
      <c r="FF28" s="63"/>
      <c r="FG28" s="64"/>
      <c r="FH28" s="64"/>
      <c r="FI28" s="64"/>
      <c r="FJ28" s="64"/>
      <c r="FK28" s="64"/>
      <c r="FL28" s="64"/>
      <c r="FM28" s="64"/>
      <c r="FN28" s="63"/>
      <c r="FO28" s="63"/>
      <c r="FP28" s="63"/>
      <c r="FQ28" s="63"/>
      <c r="FR28" s="63"/>
      <c r="FS28" s="63"/>
      <c r="FT28" s="63"/>
      <c r="FU28" s="64"/>
      <c r="FV28" s="64"/>
      <c r="FW28" s="64"/>
      <c r="FX28" s="64"/>
      <c r="FY28" s="64"/>
      <c r="FZ28" s="64"/>
      <c r="GA28" s="64"/>
      <c r="GB28" s="63"/>
      <c r="GC28" s="63"/>
      <c r="GD28" s="63"/>
      <c r="GE28" s="63"/>
      <c r="GF28" s="63"/>
      <c r="GG28" s="63"/>
      <c r="GH28" s="63"/>
      <c r="GI28" s="64"/>
      <c r="GJ28" s="64"/>
      <c r="GK28" s="64"/>
      <c r="GL28" s="64"/>
      <c r="GM28" s="64"/>
      <c r="GN28" s="64"/>
      <c r="GO28" s="64"/>
      <c r="GP28" s="63"/>
      <c r="GQ28" s="63"/>
      <c r="GR28" s="63"/>
      <c r="GS28" s="63"/>
      <c r="GT28" s="63"/>
      <c r="GU28" s="63"/>
      <c r="GV28" s="63"/>
      <c r="GW28" s="64"/>
      <c r="GX28" s="64"/>
      <c r="GY28" s="64"/>
      <c r="GZ28" s="64"/>
      <c r="HA28" s="64"/>
      <c r="HB28" s="64"/>
      <c r="HC28" s="64"/>
      <c r="HD28" s="63"/>
      <c r="HE28" s="63"/>
      <c r="HF28" s="63"/>
      <c r="HG28" s="63"/>
      <c r="HH28" s="63"/>
      <c r="HI28" s="63"/>
      <c r="HJ28" s="63"/>
      <c r="HK28" s="65" t="n">
        <f aca="false">COUNTIF(B28:HJ28,"A")</f>
        <v>0</v>
      </c>
      <c r="HL28" s="66" t="n">
        <f aca="false">COUNTIF(B28:HJ28,"O")</f>
        <v>0</v>
      </c>
      <c r="HM28" s="67" t="n">
        <f aca="false">COUNTIF(B28:HJ28,"D")</f>
        <v>0</v>
      </c>
      <c r="HN28" s="68" t="n">
        <f aca="false">COUNTIF(B28:HJ28,"N/A")</f>
        <v>0</v>
      </c>
      <c r="HO28" s="69" t="n">
        <f aca="false">IFERROR((HK28+HL28)/(HK28+HL28+HM28),0)</f>
        <v>0</v>
      </c>
    </row>
    <row r="29" customFormat="false" ht="15.75" hidden="false" customHeight="true" outlineLevel="0" collapsed="false">
      <c r="A29" s="62" t="n">
        <f aca="false">Roster!B29</f>
        <v>0</v>
      </c>
      <c r="B29" s="63"/>
      <c r="C29" s="63"/>
      <c r="D29" s="63"/>
      <c r="E29" s="63"/>
      <c r="F29" s="63"/>
      <c r="G29" s="63"/>
      <c r="H29" s="63"/>
      <c r="I29" s="64"/>
      <c r="J29" s="64"/>
      <c r="K29" s="64"/>
      <c r="L29" s="64"/>
      <c r="M29" s="64"/>
      <c r="N29" s="64"/>
      <c r="O29" s="64"/>
      <c r="P29" s="63"/>
      <c r="Q29" s="63"/>
      <c r="R29" s="63"/>
      <c r="S29" s="63"/>
      <c r="T29" s="63"/>
      <c r="U29" s="63"/>
      <c r="V29" s="63"/>
      <c r="W29" s="64"/>
      <c r="X29" s="64"/>
      <c r="Y29" s="64"/>
      <c r="Z29" s="64"/>
      <c r="AA29" s="64"/>
      <c r="AB29" s="64"/>
      <c r="AC29" s="64"/>
      <c r="AD29" s="63"/>
      <c r="AE29" s="63"/>
      <c r="AF29" s="63"/>
      <c r="AG29" s="63"/>
      <c r="AH29" s="63"/>
      <c r="AI29" s="63"/>
      <c r="AJ29" s="63"/>
      <c r="AK29" s="64"/>
      <c r="AL29" s="64"/>
      <c r="AM29" s="64"/>
      <c r="AN29" s="64"/>
      <c r="AO29" s="64"/>
      <c r="AP29" s="64"/>
      <c r="AQ29" s="64"/>
      <c r="AR29" s="63"/>
      <c r="AS29" s="63"/>
      <c r="AT29" s="63"/>
      <c r="AU29" s="63"/>
      <c r="AV29" s="63"/>
      <c r="AW29" s="63"/>
      <c r="AX29" s="63"/>
      <c r="AY29" s="64"/>
      <c r="AZ29" s="64"/>
      <c r="BA29" s="64"/>
      <c r="BB29" s="64"/>
      <c r="BC29" s="64"/>
      <c r="BD29" s="64"/>
      <c r="BE29" s="64"/>
      <c r="BF29" s="63"/>
      <c r="BG29" s="63"/>
      <c r="BH29" s="63"/>
      <c r="BI29" s="63"/>
      <c r="BJ29" s="63"/>
      <c r="BK29" s="63"/>
      <c r="BL29" s="63"/>
      <c r="BM29" s="64"/>
      <c r="BN29" s="64"/>
      <c r="BO29" s="64"/>
      <c r="BP29" s="64"/>
      <c r="BQ29" s="64"/>
      <c r="BR29" s="64"/>
      <c r="BS29" s="64"/>
      <c r="BT29" s="63"/>
      <c r="BU29" s="63"/>
      <c r="BV29" s="63"/>
      <c r="BW29" s="63"/>
      <c r="BX29" s="63"/>
      <c r="BY29" s="63"/>
      <c r="BZ29" s="63"/>
      <c r="CA29" s="64"/>
      <c r="CB29" s="64"/>
      <c r="CC29" s="64"/>
      <c r="CD29" s="64"/>
      <c r="CE29" s="64"/>
      <c r="CF29" s="64"/>
      <c r="CG29" s="64"/>
      <c r="CH29" s="63"/>
      <c r="CI29" s="63"/>
      <c r="CJ29" s="63"/>
      <c r="CK29" s="63"/>
      <c r="CL29" s="63"/>
      <c r="CM29" s="63"/>
      <c r="CN29" s="63"/>
      <c r="CO29" s="64"/>
      <c r="CP29" s="64"/>
      <c r="CQ29" s="64"/>
      <c r="CR29" s="64"/>
      <c r="CS29" s="64"/>
      <c r="CT29" s="64"/>
      <c r="CU29" s="64"/>
      <c r="CV29" s="63"/>
      <c r="CW29" s="63"/>
      <c r="CX29" s="63"/>
      <c r="CY29" s="63"/>
      <c r="CZ29" s="63"/>
      <c r="DA29" s="63"/>
      <c r="DB29" s="63"/>
      <c r="DC29" s="64"/>
      <c r="DD29" s="64"/>
      <c r="DE29" s="64"/>
      <c r="DF29" s="64"/>
      <c r="DG29" s="64"/>
      <c r="DH29" s="64"/>
      <c r="DI29" s="64"/>
      <c r="DJ29" s="63"/>
      <c r="DK29" s="63"/>
      <c r="DL29" s="63"/>
      <c r="DM29" s="63"/>
      <c r="DN29" s="63"/>
      <c r="DO29" s="63"/>
      <c r="DP29" s="63"/>
      <c r="DQ29" s="64"/>
      <c r="DR29" s="64"/>
      <c r="DS29" s="64"/>
      <c r="DT29" s="64"/>
      <c r="DU29" s="64"/>
      <c r="DV29" s="64"/>
      <c r="DW29" s="64"/>
      <c r="DX29" s="63"/>
      <c r="DY29" s="63"/>
      <c r="DZ29" s="63"/>
      <c r="EA29" s="63"/>
      <c r="EB29" s="63"/>
      <c r="EC29" s="63"/>
      <c r="ED29" s="63"/>
      <c r="EE29" s="64"/>
      <c r="EF29" s="64"/>
      <c r="EG29" s="64"/>
      <c r="EH29" s="64"/>
      <c r="EI29" s="64"/>
      <c r="EJ29" s="64"/>
      <c r="EK29" s="64"/>
      <c r="EL29" s="63"/>
      <c r="EM29" s="63"/>
      <c r="EN29" s="63"/>
      <c r="EO29" s="63"/>
      <c r="EP29" s="63"/>
      <c r="EQ29" s="63"/>
      <c r="ER29" s="63"/>
      <c r="ES29" s="64"/>
      <c r="ET29" s="64"/>
      <c r="EU29" s="64"/>
      <c r="EV29" s="64"/>
      <c r="EW29" s="64"/>
      <c r="EX29" s="64"/>
      <c r="EY29" s="64"/>
      <c r="EZ29" s="63"/>
      <c r="FA29" s="63"/>
      <c r="FB29" s="63"/>
      <c r="FC29" s="63"/>
      <c r="FD29" s="63"/>
      <c r="FE29" s="63"/>
      <c r="FF29" s="63"/>
      <c r="FG29" s="64"/>
      <c r="FH29" s="64"/>
      <c r="FI29" s="64"/>
      <c r="FJ29" s="64"/>
      <c r="FK29" s="64"/>
      <c r="FL29" s="64"/>
      <c r="FM29" s="64"/>
      <c r="FN29" s="63"/>
      <c r="FO29" s="63"/>
      <c r="FP29" s="63"/>
      <c r="FQ29" s="63"/>
      <c r="FR29" s="63"/>
      <c r="FS29" s="63"/>
      <c r="FT29" s="63"/>
      <c r="FU29" s="64"/>
      <c r="FV29" s="64"/>
      <c r="FW29" s="64"/>
      <c r="FX29" s="64"/>
      <c r="FY29" s="64"/>
      <c r="FZ29" s="64"/>
      <c r="GA29" s="64"/>
      <c r="GB29" s="63"/>
      <c r="GC29" s="63"/>
      <c r="GD29" s="63"/>
      <c r="GE29" s="63"/>
      <c r="GF29" s="63"/>
      <c r="GG29" s="63"/>
      <c r="GH29" s="63"/>
      <c r="GI29" s="64"/>
      <c r="GJ29" s="64"/>
      <c r="GK29" s="64"/>
      <c r="GL29" s="64"/>
      <c r="GM29" s="64"/>
      <c r="GN29" s="64"/>
      <c r="GO29" s="64"/>
      <c r="GP29" s="63"/>
      <c r="GQ29" s="63"/>
      <c r="GR29" s="63"/>
      <c r="GS29" s="63"/>
      <c r="GT29" s="63"/>
      <c r="GU29" s="63"/>
      <c r="GV29" s="63"/>
      <c r="GW29" s="64"/>
      <c r="GX29" s="64"/>
      <c r="GY29" s="64"/>
      <c r="GZ29" s="64"/>
      <c r="HA29" s="64"/>
      <c r="HB29" s="64"/>
      <c r="HC29" s="64"/>
      <c r="HD29" s="63"/>
      <c r="HE29" s="63"/>
      <c r="HF29" s="63"/>
      <c r="HG29" s="63"/>
      <c r="HH29" s="63"/>
      <c r="HI29" s="63"/>
      <c r="HJ29" s="63"/>
      <c r="HK29" s="65" t="n">
        <f aca="false">COUNTIF(B29:HJ29,"A")</f>
        <v>0</v>
      </c>
      <c r="HL29" s="66" t="n">
        <f aca="false">COUNTIF(B29:HJ29,"O")</f>
        <v>0</v>
      </c>
      <c r="HM29" s="67" t="n">
        <f aca="false">COUNTIF(B29:HJ29,"D")</f>
        <v>0</v>
      </c>
      <c r="HN29" s="68" t="n">
        <f aca="false">COUNTIF(B29:HJ29,"N/A")</f>
        <v>0</v>
      </c>
      <c r="HO29" s="69" t="n">
        <f aca="false">IFERROR((HK29+HL29)/(HK29+HL29+HM29),0)</f>
        <v>0</v>
      </c>
    </row>
    <row r="30" customFormat="false" ht="15.75" hidden="false" customHeight="true" outlineLevel="0" collapsed="false">
      <c r="A30" s="62" t="n">
        <f aca="false">Roster!B30</f>
        <v>0</v>
      </c>
      <c r="B30" s="63"/>
      <c r="C30" s="63"/>
      <c r="D30" s="63"/>
      <c r="E30" s="63"/>
      <c r="F30" s="63"/>
      <c r="G30" s="63"/>
      <c r="H30" s="63"/>
      <c r="I30" s="64"/>
      <c r="J30" s="64"/>
      <c r="K30" s="64"/>
      <c r="L30" s="64"/>
      <c r="M30" s="64"/>
      <c r="N30" s="64"/>
      <c r="O30" s="64"/>
      <c r="P30" s="63"/>
      <c r="Q30" s="63"/>
      <c r="R30" s="63"/>
      <c r="S30" s="63"/>
      <c r="T30" s="63"/>
      <c r="U30" s="63"/>
      <c r="V30" s="63"/>
      <c r="W30" s="64"/>
      <c r="X30" s="64"/>
      <c r="Y30" s="64"/>
      <c r="Z30" s="64"/>
      <c r="AA30" s="64"/>
      <c r="AB30" s="64"/>
      <c r="AC30" s="64"/>
      <c r="AD30" s="63"/>
      <c r="AE30" s="63"/>
      <c r="AF30" s="63"/>
      <c r="AG30" s="63"/>
      <c r="AH30" s="63"/>
      <c r="AI30" s="63"/>
      <c r="AJ30" s="63"/>
      <c r="AK30" s="64"/>
      <c r="AL30" s="64"/>
      <c r="AM30" s="64"/>
      <c r="AN30" s="64"/>
      <c r="AO30" s="64"/>
      <c r="AP30" s="64"/>
      <c r="AQ30" s="64"/>
      <c r="AR30" s="63"/>
      <c r="AS30" s="63"/>
      <c r="AT30" s="63"/>
      <c r="AU30" s="63"/>
      <c r="AV30" s="63"/>
      <c r="AW30" s="63"/>
      <c r="AX30" s="63"/>
      <c r="AY30" s="64"/>
      <c r="AZ30" s="64"/>
      <c r="BA30" s="64"/>
      <c r="BB30" s="64"/>
      <c r="BC30" s="64"/>
      <c r="BD30" s="64"/>
      <c r="BE30" s="64"/>
      <c r="BF30" s="63"/>
      <c r="BG30" s="63"/>
      <c r="BH30" s="63"/>
      <c r="BI30" s="63"/>
      <c r="BJ30" s="63"/>
      <c r="BK30" s="63"/>
      <c r="BL30" s="63"/>
      <c r="BM30" s="64"/>
      <c r="BN30" s="64"/>
      <c r="BO30" s="64"/>
      <c r="BP30" s="64"/>
      <c r="BQ30" s="64"/>
      <c r="BR30" s="64"/>
      <c r="BS30" s="64"/>
      <c r="BT30" s="63"/>
      <c r="BU30" s="63"/>
      <c r="BV30" s="63"/>
      <c r="BW30" s="63"/>
      <c r="BX30" s="63"/>
      <c r="BY30" s="63"/>
      <c r="BZ30" s="63"/>
      <c r="CA30" s="64"/>
      <c r="CB30" s="64"/>
      <c r="CC30" s="64"/>
      <c r="CD30" s="64"/>
      <c r="CE30" s="64"/>
      <c r="CF30" s="64"/>
      <c r="CG30" s="64"/>
      <c r="CH30" s="63"/>
      <c r="CI30" s="63"/>
      <c r="CJ30" s="63"/>
      <c r="CK30" s="63"/>
      <c r="CL30" s="63"/>
      <c r="CM30" s="63"/>
      <c r="CN30" s="63"/>
      <c r="CO30" s="64"/>
      <c r="CP30" s="64"/>
      <c r="CQ30" s="64"/>
      <c r="CR30" s="64"/>
      <c r="CS30" s="64"/>
      <c r="CT30" s="64"/>
      <c r="CU30" s="64"/>
      <c r="CV30" s="63"/>
      <c r="CW30" s="63"/>
      <c r="CX30" s="63"/>
      <c r="CY30" s="63"/>
      <c r="CZ30" s="63"/>
      <c r="DA30" s="63"/>
      <c r="DB30" s="63"/>
      <c r="DC30" s="64"/>
      <c r="DD30" s="64"/>
      <c r="DE30" s="64"/>
      <c r="DF30" s="64"/>
      <c r="DG30" s="64"/>
      <c r="DH30" s="64"/>
      <c r="DI30" s="64"/>
      <c r="DJ30" s="63"/>
      <c r="DK30" s="63"/>
      <c r="DL30" s="63"/>
      <c r="DM30" s="63"/>
      <c r="DN30" s="63"/>
      <c r="DO30" s="63"/>
      <c r="DP30" s="63"/>
      <c r="DQ30" s="64"/>
      <c r="DR30" s="64"/>
      <c r="DS30" s="64"/>
      <c r="DT30" s="64"/>
      <c r="DU30" s="64"/>
      <c r="DV30" s="64"/>
      <c r="DW30" s="64"/>
      <c r="DX30" s="63"/>
      <c r="DY30" s="63"/>
      <c r="DZ30" s="63"/>
      <c r="EA30" s="63"/>
      <c r="EB30" s="63"/>
      <c r="EC30" s="63"/>
      <c r="ED30" s="63"/>
      <c r="EE30" s="64"/>
      <c r="EF30" s="64"/>
      <c r="EG30" s="64"/>
      <c r="EH30" s="64"/>
      <c r="EI30" s="64"/>
      <c r="EJ30" s="64"/>
      <c r="EK30" s="64"/>
      <c r="EL30" s="63"/>
      <c r="EM30" s="63"/>
      <c r="EN30" s="63"/>
      <c r="EO30" s="63"/>
      <c r="EP30" s="63"/>
      <c r="EQ30" s="63"/>
      <c r="ER30" s="63"/>
      <c r="ES30" s="64"/>
      <c r="ET30" s="64"/>
      <c r="EU30" s="64"/>
      <c r="EV30" s="64"/>
      <c r="EW30" s="64"/>
      <c r="EX30" s="64"/>
      <c r="EY30" s="64"/>
      <c r="EZ30" s="63"/>
      <c r="FA30" s="63"/>
      <c r="FB30" s="63"/>
      <c r="FC30" s="63"/>
      <c r="FD30" s="63"/>
      <c r="FE30" s="63"/>
      <c r="FF30" s="63"/>
      <c r="FG30" s="64"/>
      <c r="FH30" s="64"/>
      <c r="FI30" s="64"/>
      <c r="FJ30" s="64"/>
      <c r="FK30" s="64"/>
      <c r="FL30" s="64"/>
      <c r="FM30" s="64"/>
      <c r="FN30" s="63"/>
      <c r="FO30" s="63"/>
      <c r="FP30" s="63"/>
      <c r="FQ30" s="63"/>
      <c r="FR30" s="63"/>
      <c r="FS30" s="63"/>
      <c r="FT30" s="63"/>
      <c r="FU30" s="64"/>
      <c r="FV30" s="64"/>
      <c r="FW30" s="64"/>
      <c r="FX30" s="64"/>
      <c r="FY30" s="64"/>
      <c r="FZ30" s="64"/>
      <c r="GA30" s="64"/>
      <c r="GB30" s="63"/>
      <c r="GC30" s="63"/>
      <c r="GD30" s="63"/>
      <c r="GE30" s="63"/>
      <c r="GF30" s="63"/>
      <c r="GG30" s="63"/>
      <c r="GH30" s="63"/>
      <c r="GI30" s="64"/>
      <c r="GJ30" s="64"/>
      <c r="GK30" s="64"/>
      <c r="GL30" s="64"/>
      <c r="GM30" s="64"/>
      <c r="GN30" s="64"/>
      <c r="GO30" s="64"/>
      <c r="GP30" s="63"/>
      <c r="GQ30" s="63"/>
      <c r="GR30" s="63"/>
      <c r="GS30" s="63"/>
      <c r="GT30" s="63"/>
      <c r="GU30" s="63"/>
      <c r="GV30" s="63"/>
      <c r="GW30" s="64"/>
      <c r="GX30" s="64"/>
      <c r="GY30" s="64"/>
      <c r="GZ30" s="64"/>
      <c r="HA30" s="64"/>
      <c r="HB30" s="64"/>
      <c r="HC30" s="64"/>
      <c r="HD30" s="63"/>
      <c r="HE30" s="63"/>
      <c r="HF30" s="63"/>
      <c r="HG30" s="63"/>
      <c r="HH30" s="63"/>
      <c r="HI30" s="63"/>
      <c r="HJ30" s="63"/>
      <c r="HK30" s="65" t="n">
        <f aca="false">COUNTIF(B30:HJ30,"A")</f>
        <v>0</v>
      </c>
      <c r="HL30" s="66" t="n">
        <f aca="false">COUNTIF(B30:HJ30,"O")</f>
        <v>0</v>
      </c>
      <c r="HM30" s="67" t="n">
        <f aca="false">COUNTIF(B30:HJ30,"D")</f>
        <v>0</v>
      </c>
      <c r="HN30" s="68" t="n">
        <f aca="false">COUNTIF(B30:HJ30,"N/A")</f>
        <v>0</v>
      </c>
      <c r="HO30" s="69" t="n">
        <f aca="false">IFERROR((HK30+HL30)/(HK30+HL30+HM30),0)</f>
        <v>0</v>
      </c>
    </row>
    <row r="31" customFormat="false" ht="15.75" hidden="false" customHeight="true" outlineLevel="0" collapsed="false">
      <c r="A31" s="62" t="n">
        <f aca="false">Roster!B31</f>
        <v>0</v>
      </c>
      <c r="B31" s="63"/>
      <c r="C31" s="63"/>
      <c r="D31" s="63"/>
      <c r="E31" s="63"/>
      <c r="F31" s="63"/>
      <c r="G31" s="63"/>
      <c r="H31" s="63"/>
      <c r="I31" s="64"/>
      <c r="J31" s="64"/>
      <c r="K31" s="64"/>
      <c r="L31" s="64"/>
      <c r="M31" s="64"/>
      <c r="N31" s="64"/>
      <c r="O31" s="64"/>
      <c r="P31" s="63"/>
      <c r="Q31" s="63"/>
      <c r="R31" s="63"/>
      <c r="S31" s="63"/>
      <c r="T31" s="63"/>
      <c r="U31" s="63"/>
      <c r="V31" s="63"/>
      <c r="W31" s="64"/>
      <c r="X31" s="64"/>
      <c r="Y31" s="64"/>
      <c r="Z31" s="64"/>
      <c r="AA31" s="64"/>
      <c r="AB31" s="64"/>
      <c r="AC31" s="64"/>
      <c r="AD31" s="63"/>
      <c r="AE31" s="63"/>
      <c r="AF31" s="63"/>
      <c r="AG31" s="63"/>
      <c r="AH31" s="63"/>
      <c r="AI31" s="63"/>
      <c r="AJ31" s="63"/>
      <c r="AK31" s="64"/>
      <c r="AL31" s="64"/>
      <c r="AM31" s="64"/>
      <c r="AN31" s="64"/>
      <c r="AO31" s="64"/>
      <c r="AP31" s="64"/>
      <c r="AQ31" s="64"/>
      <c r="AR31" s="63"/>
      <c r="AS31" s="63"/>
      <c r="AT31" s="63"/>
      <c r="AU31" s="63"/>
      <c r="AV31" s="63"/>
      <c r="AW31" s="63"/>
      <c r="AX31" s="63"/>
      <c r="AY31" s="64"/>
      <c r="AZ31" s="64"/>
      <c r="BA31" s="64"/>
      <c r="BB31" s="64"/>
      <c r="BC31" s="64"/>
      <c r="BD31" s="64"/>
      <c r="BE31" s="64"/>
      <c r="BF31" s="63"/>
      <c r="BG31" s="63"/>
      <c r="BH31" s="63"/>
      <c r="BI31" s="63"/>
      <c r="BJ31" s="63"/>
      <c r="BK31" s="63"/>
      <c r="BL31" s="63"/>
      <c r="BM31" s="64"/>
      <c r="BN31" s="64"/>
      <c r="BO31" s="64"/>
      <c r="BP31" s="64"/>
      <c r="BQ31" s="64"/>
      <c r="BR31" s="64"/>
      <c r="BS31" s="64"/>
      <c r="BT31" s="63"/>
      <c r="BU31" s="63"/>
      <c r="BV31" s="63"/>
      <c r="BW31" s="63"/>
      <c r="BX31" s="63"/>
      <c r="BY31" s="63"/>
      <c r="BZ31" s="63"/>
      <c r="CA31" s="64"/>
      <c r="CB31" s="64"/>
      <c r="CC31" s="64"/>
      <c r="CD31" s="64"/>
      <c r="CE31" s="64"/>
      <c r="CF31" s="64"/>
      <c r="CG31" s="64"/>
      <c r="CH31" s="63"/>
      <c r="CI31" s="63"/>
      <c r="CJ31" s="63"/>
      <c r="CK31" s="63"/>
      <c r="CL31" s="63"/>
      <c r="CM31" s="63"/>
      <c r="CN31" s="63"/>
      <c r="CO31" s="64"/>
      <c r="CP31" s="64"/>
      <c r="CQ31" s="64"/>
      <c r="CR31" s="64"/>
      <c r="CS31" s="64"/>
      <c r="CT31" s="64"/>
      <c r="CU31" s="64"/>
      <c r="CV31" s="63"/>
      <c r="CW31" s="63"/>
      <c r="CX31" s="63"/>
      <c r="CY31" s="63"/>
      <c r="CZ31" s="63"/>
      <c r="DA31" s="63"/>
      <c r="DB31" s="63"/>
      <c r="DC31" s="64"/>
      <c r="DD31" s="64"/>
      <c r="DE31" s="64"/>
      <c r="DF31" s="64"/>
      <c r="DG31" s="64"/>
      <c r="DH31" s="64"/>
      <c r="DI31" s="64"/>
      <c r="DJ31" s="63"/>
      <c r="DK31" s="63"/>
      <c r="DL31" s="63"/>
      <c r="DM31" s="63"/>
      <c r="DN31" s="63"/>
      <c r="DO31" s="63"/>
      <c r="DP31" s="63"/>
      <c r="DQ31" s="64"/>
      <c r="DR31" s="64"/>
      <c r="DS31" s="64"/>
      <c r="DT31" s="64"/>
      <c r="DU31" s="64"/>
      <c r="DV31" s="64"/>
      <c r="DW31" s="64"/>
      <c r="DX31" s="63"/>
      <c r="DY31" s="63"/>
      <c r="DZ31" s="63"/>
      <c r="EA31" s="63"/>
      <c r="EB31" s="63"/>
      <c r="EC31" s="63"/>
      <c r="ED31" s="63"/>
      <c r="EE31" s="64"/>
      <c r="EF31" s="64"/>
      <c r="EG31" s="64"/>
      <c r="EH31" s="64"/>
      <c r="EI31" s="64"/>
      <c r="EJ31" s="64"/>
      <c r="EK31" s="64"/>
      <c r="EL31" s="63"/>
      <c r="EM31" s="63"/>
      <c r="EN31" s="63"/>
      <c r="EO31" s="63"/>
      <c r="EP31" s="63"/>
      <c r="EQ31" s="63"/>
      <c r="ER31" s="63"/>
      <c r="ES31" s="64"/>
      <c r="ET31" s="64"/>
      <c r="EU31" s="64"/>
      <c r="EV31" s="64"/>
      <c r="EW31" s="64"/>
      <c r="EX31" s="64"/>
      <c r="EY31" s="64"/>
      <c r="EZ31" s="63"/>
      <c r="FA31" s="63"/>
      <c r="FB31" s="63"/>
      <c r="FC31" s="63"/>
      <c r="FD31" s="63"/>
      <c r="FE31" s="63"/>
      <c r="FF31" s="63"/>
      <c r="FG31" s="64"/>
      <c r="FH31" s="64"/>
      <c r="FI31" s="64"/>
      <c r="FJ31" s="64"/>
      <c r="FK31" s="64"/>
      <c r="FL31" s="64"/>
      <c r="FM31" s="64"/>
      <c r="FN31" s="63"/>
      <c r="FO31" s="63"/>
      <c r="FP31" s="63"/>
      <c r="FQ31" s="63"/>
      <c r="FR31" s="63"/>
      <c r="FS31" s="63"/>
      <c r="FT31" s="63"/>
      <c r="FU31" s="64"/>
      <c r="FV31" s="64"/>
      <c r="FW31" s="64"/>
      <c r="FX31" s="64"/>
      <c r="FY31" s="64"/>
      <c r="FZ31" s="64"/>
      <c r="GA31" s="64"/>
      <c r="GB31" s="63"/>
      <c r="GC31" s="63"/>
      <c r="GD31" s="63"/>
      <c r="GE31" s="63"/>
      <c r="GF31" s="63"/>
      <c r="GG31" s="63"/>
      <c r="GH31" s="63"/>
      <c r="GI31" s="64"/>
      <c r="GJ31" s="64"/>
      <c r="GK31" s="64"/>
      <c r="GL31" s="64"/>
      <c r="GM31" s="64"/>
      <c r="GN31" s="64"/>
      <c r="GO31" s="64"/>
      <c r="GP31" s="63"/>
      <c r="GQ31" s="63"/>
      <c r="GR31" s="63"/>
      <c r="GS31" s="63"/>
      <c r="GT31" s="63"/>
      <c r="GU31" s="63"/>
      <c r="GV31" s="63"/>
      <c r="GW31" s="64"/>
      <c r="GX31" s="64"/>
      <c r="GY31" s="64"/>
      <c r="GZ31" s="64"/>
      <c r="HA31" s="64"/>
      <c r="HB31" s="64"/>
      <c r="HC31" s="64"/>
      <c r="HD31" s="63"/>
      <c r="HE31" s="63"/>
      <c r="HF31" s="63"/>
      <c r="HG31" s="63"/>
      <c r="HH31" s="63"/>
      <c r="HI31" s="63"/>
      <c r="HJ31" s="63"/>
      <c r="HK31" s="65" t="n">
        <f aca="false">COUNTIF(B31:HJ31,"A")</f>
        <v>0</v>
      </c>
      <c r="HL31" s="66" t="n">
        <f aca="false">COUNTIF(B31:HJ31,"O")</f>
        <v>0</v>
      </c>
      <c r="HM31" s="67" t="n">
        <f aca="false">COUNTIF(B31:HJ31,"D")</f>
        <v>0</v>
      </c>
      <c r="HN31" s="68" t="n">
        <f aca="false">COUNTIF(B31:HJ31,"N/A")</f>
        <v>0</v>
      </c>
      <c r="HO31" s="69" t="n">
        <f aca="false">IFERROR((HK31+HL31)/(HK31+HL31+HM31),0)</f>
        <v>0</v>
      </c>
    </row>
    <row r="32" customFormat="false" ht="15.75" hidden="false" customHeight="true" outlineLevel="0" collapsed="false">
      <c r="A32" s="62" t="n">
        <f aca="false">Roster!B32</f>
        <v>0</v>
      </c>
      <c r="B32" s="63"/>
      <c r="C32" s="63"/>
      <c r="D32" s="63"/>
      <c r="E32" s="63"/>
      <c r="F32" s="63"/>
      <c r="G32" s="63"/>
      <c r="H32" s="63"/>
      <c r="I32" s="64"/>
      <c r="J32" s="64"/>
      <c r="K32" s="64"/>
      <c r="L32" s="64"/>
      <c r="M32" s="64"/>
      <c r="N32" s="64"/>
      <c r="O32" s="64"/>
      <c r="P32" s="63"/>
      <c r="Q32" s="63"/>
      <c r="R32" s="63"/>
      <c r="S32" s="63"/>
      <c r="T32" s="63"/>
      <c r="U32" s="63"/>
      <c r="V32" s="63"/>
      <c r="W32" s="64"/>
      <c r="X32" s="64"/>
      <c r="Y32" s="64"/>
      <c r="Z32" s="64"/>
      <c r="AA32" s="64"/>
      <c r="AB32" s="64"/>
      <c r="AC32" s="64"/>
      <c r="AD32" s="63"/>
      <c r="AE32" s="63"/>
      <c r="AF32" s="63"/>
      <c r="AG32" s="63"/>
      <c r="AH32" s="63"/>
      <c r="AI32" s="63"/>
      <c r="AJ32" s="63"/>
      <c r="AK32" s="64"/>
      <c r="AL32" s="64"/>
      <c r="AM32" s="64"/>
      <c r="AN32" s="64"/>
      <c r="AO32" s="64"/>
      <c r="AP32" s="64"/>
      <c r="AQ32" s="64"/>
      <c r="AR32" s="63"/>
      <c r="AS32" s="63"/>
      <c r="AT32" s="63"/>
      <c r="AU32" s="63"/>
      <c r="AV32" s="63"/>
      <c r="AW32" s="63"/>
      <c r="AX32" s="63"/>
      <c r="AY32" s="64"/>
      <c r="AZ32" s="64"/>
      <c r="BA32" s="64"/>
      <c r="BB32" s="64"/>
      <c r="BC32" s="64"/>
      <c r="BD32" s="64"/>
      <c r="BE32" s="64"/>
      <c r="BF32" s="63"/>
      <c r="BG32" s="63"/>
      <c r="BH32" s="63"/>
      <c r="BI32" s="63"/>
      <c r="BJ32" s="63"/>
      <c r="BK32" s="63"/>
      <c r="BL32" s="63"/>
      <c r="BM32" s="64"/>
      <c r="BN32" s="64"/>
      <c r="BO32" s="64"/>
      <c r="BP32" s="64"/>
      <c r="BQ32" s="64"/>
      <c r="BR32" s="64"/>
      <c r="BS32" s="64"/>
      <c r="BT32" s="63"/>
      <c r="BU32" s="63"/>
      <c r="BV32" s="63"/>
      <c r="BW32" s="63"/>
      <c r="BX32" s="63"/>
      <c r="BY32" s="63"/>
      <c r="BZ32" s="63"/>
      <c r="CA32" s="64"/>
      <c r="CB32" s="64"/>
      <c r="CC32" s="64"/>
      <c r="CD32" s="64"/>
      <c r="CE32" s="64"/>
      <c r="CF32" s="64"/>
      <c r="CG32" s="64"/>
      <c r="CH32" s="63"/>
      <c r="CI32" s="63"/>
      <c r="CJ32" s="63"/>
      <c r="CK32" s="63"/>
      <c r="CL32" s="63"/>
      <c r="CM32" s="63"/>
      <c r="CN32" s="63"/>
      <c r="CO32" s="64"/>
      <c r="CP32" s="64"/>
      <c r="CQ32" s="64"/>
      <c r="CR32" s="64"/>
      <c r="CS32" s="64"/>
      <c r="CT32" s="64"/>
      <c r="CU32" s="64"/>
      <c r="CV32" s="63"/>
      <c r="CW32" s="63"/>
      <c r="CX32" s="63"/>
      <c r="CY32" s="63"/>
      <c r="CZ32" s="63"/>
      <c r="DA32" s="63"/>
      <c r="DB32" s="63"/>
      <c r="DC32" s="64"/>
      <c r="DD32" s="64"/>
      <c r="DE32" s="64"/>
      <c r="DF32" s="64"/>
      <c r="DG32" s="64"/>
      <c r="DH32" s="64"/>
      <c r="DI32" s="64"/>
      <c r="DJ32" s="63"/>
      <c r="DK32" s="63"/>
      <c r="DL32" s="63"/>
      <c r="DM32" s="63"/>
      <c r="DN32" s="63"/>
      <c r="DO32" s="63"/>
      <c r="DP32" s="63"/>
      <c r="DQ32" s="64"/>
      <c r="DR32" s="64"/>
      <c r="DS32" s="64"/>
      <c r="DT32" s="64"/>
      <c r="DU32" s="64"/>
      <c r="DV32" s="64"/>
      <c r="DW32" s="64"/>
      <c r="DX32" s="63"/>
      <c r="DY32" s="63"/>
      <c r="DZ32" s="63"/>
      <c r="EA32" s="63"/>
      <c r="EB32" s="63"/>
      <c r="EC32" s="63"/>
      <c r="ED32" s="63"/>
      <c r="EE32" s="64"/>
      <c r="EF32" s="64"/>
      <c r="EG32" s="64"/>
      <c r="EH32" s="64"/>
      <c r="EI32" s="64"/>
      <c r="EJ32" s="64"/>
      <c r="EK32" s="64"/>
      <c r="EL32" s="63"/>
      <c r="EM32" s="63"/>
      <c r="EN32" s="63"/>
      <c r="EO32" s="63"/>
      <c r="EP32" s="63"/>
      <c r="EQ32" s="63"/>
      <c r="ER32" s="63"/>
      <c r="ES32" s="64"/>
      <c r="ET32" s="64"/>
      <c r="EU32" s="64"/>
      <c r="EV32" s="64"/>
      <c r="EW32" s="64"/>
      <c r="EX32" s="64"/>
      <c r="EY32" s="64"/>
      <c r="EZ32" s="63"/>
      <c r="FA32" s="63"/>
      <c r="FB32" s="63"/>
      <c r="FC32" s="63"/>
      <c r="FD32" s="63"/>
      <c r="FE32" s="63"/>
      <c r="FF32" s="63"/>
      <c r="FG32" s="64"/>
      <c r="FH32" s="64"/>
      <c r="FI32" s="64"/>
      <c r="FJ32" s="64"/>
      <c r="FK32" s="64"/>
      <c r="FL32" s="64"/>
      <c r="FM32" s="64"/>
      <c r="FN32" s="63"/>
      <c r="FO32" s="63"/>
      <c r="FP32" s="63"/>
      <c r="FQ32" s="63"/>
      <c r="FR32" s="63"/>
      <c r="FS32" s="63"/>
      <c r="FT32" s="63"/>
      <c r="FU32" s="64"/>
      <c r="FV32" s="64"/>
      <c r="FW32" s="64"/>
      <c r="FX32" s="64"/>
      <c r="FY32" s="64"/>
      <c r="FZ32" s="64"/>
      <c r="GA32" s="64"/>
      <c r="GB32" s="63"/>
      <c r="GC32" s="63"/>
      <c r="GD32" s="63"/>
      <c r="GE32" s="63"/>
      <c r="GF32" s="63"/>
      <c r="GG32" s="63"/>
      <c r="GH32" s="63"/>
      <c r="GI32" s="64"/>
      <c r="GJ32" s="64"/>
      <c r="GK32" s="64"/>
      <c r="GL32" s="64"/>
      <c r="GM32" s="64"/>
      <c r="GN32" s="64"/>
      <c r="GO32" s="64"/>
      <c r="GP32" s="63"/>
      <c r="GQ32" s="63"/>
      <c r="GR32" s="63"/>
      <c r="GS32" s="63"/>
      <c r="GT32" s="63"/>
      <c r="GU32" s="63"/>
      <c r="GV32" s="63"/>
      <c r="GW32" s="64"/>
      <c r="GX32" s="64"/>
      <c r="GY32" s="64"/>
      <c r="GZ32" s="64"/>
      <c r="HA32" s="64"/>
      <c r="HB32" s="64"/>
      <c r="HC32" s="64"/>
      <c r="HD32" s="63"/>
      <c r="HE32" s="63"/>
      <c r="HF32" s="63"/>
      <c r="HG32" s="63"/>
      <c r="HH32" s="63"/>
      <c r="HI32" s="63"/>
      <c r="HJ32" s="63"/>
      <c r="HK32" s="65" t="n">
        <f aca="false">COUNTIF(B32:HJ32,"A")</f>
        <v>0</v>
      </c>
      <c r="HL32" s="66" t="n">
        <f aca="false">COUNTIF(B32:HJ32,"O")</f>
        <v>0</v>
      </c>
      <c r="HM32" s="67" t="n">
        <f aca="false">COUNTIF(B32:HJ32,"D")</f>
        <v>0</v>
      </c>
      <c r="HN32" s="68" t="n">
        <f aca="false">COUNTIF(B32:HJ32,"N/A")</f>
        <v>0</v>
      </c>
      <c r="HO32" s="69" t="n">
        <f aca="false">IFERROR((HK32+HL32)/(HK32+HL32+HM32),0)</f>
        <v>0</v>
      </c>
    </row>
    <row r="33" customFormat="false" ht="15.75" hidden="false" customHeight="true" outlineLevel="0" collapsed="false">
      <c r="A33" s="62" t="n">
        <f aca="false">Roster!B33</f>
        <v>0</v>
      </c>
      <c r="B33" s="63"/>
      <c r="C33" s="63"/>
      <c r="D33" s="63"/>
      <c r="E33" s="63"/>
      <c r="F33" s="63"/>
      <c r="G33" s="63"/>
      <c r="H33" s="63"/>
      <c r="I33" s="64"/>
      <c r="J33" s="64"/>
      <c r="K33" s="64"/>
      <c r="L33" s="64"/>
      <c r="M33" s="64"/>
      <c r="N33" s="64"/>
      <c r="O33" s="64"/>
      <c r="P33" s="63"/>
      <c r="Q33" s="63"/>
      <c r="R33" s="63"/>
      <c r="S33" s="63"/>
      <c r="T33" s="63"/>
      <c r="U33" s="63"/>
      <c r="V33" s="63"/>
      <c r="W33" s="64"/>
      <c r="X33" s="64"/>
      <c r="Y33" s="64"/>
      <c r="Z33" s="64"/>
      <c r="AA33" s="64"/>
      <c r="AB33" s="64"/>
      <c r="AC33" s="64"/>
      <c r="AD33" s="63"/>
      <c r="AE33" s="63"/>
      <c r="AF33" s="63"/>
      <c r="AG33" s="63"/>
      <c r="AH33" s="63"/>
      <c r="AI33" s="63"/>
      <c r="AJ33" s="63"/>
      <c r="AK33" s="64"/>
      <c r="AL33" s="64"/>
      <c r="AM33" s="64"/>
      <c r="AN33" s="64"/>
      <c r="AO33" s="64"/>
      <c r="AP33" s="64"/>
      <c r="AQ33" s="64"/>
      <c r="AR33" s="63"/>
      <c r="AS33" s="63"/>
      <c r="AT33" s="63"/>
      <c r="AU33" s="63"/>
      <c r="AV33" s="63"/>
      <c r="AW33" s="63"/>
      <c r="AX33" s="63"/>
      <c r="AY33" s="64"/>
      <c r="AZ33" s="64"/>
      <c r="BA33" s="64"/>
      <c r="BB33" s="64"/>
      <c r="BC33" s="64"/>
      <c r="BD33" s="64"/>
      <c r="BE33" s="64"/>
      <c r="BF33" s="63"/>
      <c r="BG33" s="63"/>
      <c r="BH33" s="63"/>
      <c r="BI33" s="63"/>
      <c r="BJ33" s="63"/>
      <c r="BK33" s="63"/>
      <c r="BL33" s="63"/>
      <c r="BM33" s="64"/>
      <c r="BN33" s="64"/>
      <c r="BO33" s="64"/>
      <c r="BP33" s="64"/>
      <c r="BQ33" s="64"/>
      <c r="BR33" s="64"/>
      <c r="BS33" s="64"/>
      <c r="BT33" s="63"/>
      <c r="BU33" s="63"/>
      <c r="BV33" s="63"/>
      <c r="BW33" s="63"/>
      <c r="BX33" s="63"/>
      <c r="BY33" s="63"/>
      <c r="BZ33" s="63"/>
      <c r="CA33" s="64"/>
      <c r="CB33" s="64"/>
      <c r="CC33" s="64"/>
      <c r="CD33" s="64"/>
      <c r="CE33" s="64"/>
      <c r="CF33" s="64"/>
      <c r="CG33" s="64"/>
      <c r="CH33" s="63"/>
      <c r="CI33" s="63"/>
      <c r="CJ33" s="63"/>
      <c r="CK33" s="63"/>
      <c r="CL33" s="63"/>
      <c r="CM33" s="63"/>
      <c r="CN33" s="63"/>
      <c r="CO33" s="64"/>
      <c r="CP33" s="64"/>
      <c r="CQ33" s="64"/>
      <c r="CR33" s="64"/>
      <c r="CS33" s="64"/>
      <c r="CT33" s="64"/>
      <c r="CU33" s="64"/>
      <c r="CV33" s="63"/>
      <c r="CW33" s="63"/>
      <c r="CX33" s="63"/>
      <c r="CY33" s="63"/>
      <c r="CZ33" s="63"/>
      <c r="DA33" s="63"/>
      <c r="DB33" s="63"/>
      <c r="DC33" s="64"/>
      <c r="DD33" s="64"/>
      <c r="DE33" s="64"/>
      <c r="DF33" s="64"/>
      <c r="DG33" s="64"/>
      <c r="DH33" s="64"/>
      <c r="DI33" s="64"/>
      <c r="DJ33" s="63"/>
      <c r="DK33" s="63"/>
      <c r="DL33" s="63"/>
      <c r="DM33" s="63"/>
      <c r="DN33" s="63"/>
      <c r="DO33" s="63"/>
      <c r="DP33" s="63"/>
      <c r="DQ33" s="64"/>
      <c r="DR33" s="64"/>
      <c r="DS33" s="64"/>
      <c r="DT33" s="64"/>
      <c r="DU33" s="64"/>
      <c r="DV33" s="64"/>
      <c r="DW33" s="64"/>
      <c r="DX33" s="63"/>
      <c r="DY33" s="63"/>
      <c r="DZ33" s="63"/>
      <c r="EA33" s="63"/>
      <c r="EB33" s="63"/>
      <c r="EC33" s="63"/>
      <c r="ED33" s="63"/>
      <c r="EE33" s="64"/>
      <c r="EF33" s="64"/>
      <c r="EG33" s="64"/>
      <c r="EH33" s="64"/>
      <c r="EI33" s="64"/>
      <c r="EJ33" s="64"/>
      <c r="EK33" s="64"/>
      <c r="EL33" s="63"/>
      <c r="EM33" s="63"/>
      <c r="EN33" s="63"/>
      <c r="EO33" s="63"/>
      <c r="EP33" s="63"/>
      <c r="EQ33" s="63"/>
      <c r="ER33" s="63"/>
      <c r="ES33" s="64"/>
      <c r="ET33" s="64"/>
      <c r="EU33" s="64"/>
      <c r="EV33" s="64"/>
      <c r="EW33" s="64"/>
      <c r="EX33" s="64"/>
      <c r="EY33" s="64"/>
      <c r="EZ33" s="63"/>
      <c r="FA33" s="63"/>
      <c r="FB33" s="63"/>
      <c r="FC33" s="63"/>
      <c r="FD33" s="63"/>
      <c r="FE33" s="63"/>
      <c r="FF33" s="63"/>
      <c r="FG33" s="64"/>
      <c r="FH33" s="64"/>
      <c r="FI33" s="64"/>
      <c r="FJ33" s="64"/>
      <c r="FK33" s="64"/>
      <c r="FL33" s="64"/>
      <c r="FM33" s="64"/>
      <c r="FN33" s="63"/>
      <c r="FO33" s="63"/>
      <c r="FP33" s="63"/>
      <c r="FQ33" s="63"/>
      <c r="FR33" s="63"/>
      <c r="FS33" s="63"/>
      <c r="FT33" s="63"/>
      <c r="FU33" s="64"/>
      <c r="FV33" s="64"/>
      <c r="FW33" s="64"/>
      <c r="FX33" s="64"/>
      <c r="FY33" s="64"/>
      <c r="FZ33" s="64"/>
      <c r="GA33" s="64"/>
      <c r="GB33" s="63"/>
      <c r="GC33" s="63"/>
      <c r="GD33" s="63"/>
      <c r="GE33" s="63"/>
      <c r="GF33" s="63"/>
      <c r="GG33" s="63"/>
      <c r="GH33" s="63"/>
      <c r="GI33" s="64"/>
      <c r="GJ33" s="64"/>
      <c r="GK33" s="64"/>
      <c r="GL33" s="64"/>
      <c r="GM33" s="64"/>
      <c r="GN33" s="64"/>
      <c r="GO33" s="64"/>
      <c r="GP33" s="63"/>
      <c r="GQ33" s="63"/>
      <c r="GR33" s="63"/>
      <c r="GS33" s="63"/>
      <c r="GT33" s="63"/>
      <c r="GU33" s="63"/>
      <c r="GV33" s="63"/>
      <c r="GW33" s="64"/>
      <c r="GX33" s="64"/>
      <c r="GY33" s="64"/>
      <c r="GZ33" s="64"/>
      <c r="HA33" s="64"/>
      <c r="HB33" s="64"/>
      <c r="HC33" s="64"/>
      <c r="HD33" s="63"/>
      <c r="HE33" s="63"/>
      <c r="HF33" s="63"/>
      <c r="HG33" s="63"/>
      <c r="HH33" s="63"/>
      <c r="HI33" s="63"/>
      <c r="HJ33" s="63"/>
      <c r="HK33" s="65" t="n">
        <f aca="false">COUNTIF(B33:HJ33,"A")</f>
        <v>0</v>
      </c>
      <c r="HL33" s="66" t="n">
        <f aca="false">COUNTIF(B33:HJ33,"O")</f>
        <v>0</v>
      </c>
      <c r="HM33" s="67" t="n">
        <f aca="false">COUNTIF(B33:HJ33,"D")</f>
        <v>0</v>
      </c>
      <c r="HN33" s="68" t="n">
        <f aca="false">COUNTIF(B33:HJ33,"N/A")</f>
        <v>0</v>
      </c>
      <c r="HO33" s="69" t="n">
        <f aca="false">IFERROR((HK33+HL33)/(HK33+HL33+HM33),0)</f>
        <v>0</v>
      </c>
    </row>
    <row r="34" customFormat="false" ht="15.75" hidden="false" customHeight="true" outlineLevel="0" collapsed="false">
      <c r="A34" s="62" t="n">
        <f aca="false">Roster!B34</f>
        <v>0</v>
      </c>
      <c r="B34" s="63"/>
      <c r="C34" s="63"/>
      <c r="D34" s="63"/>
      <c r="E34" s="63"/>
      <c r="F34" s="63"/>
      <c r="G34" s="63"/>
      <c r="H34" s="63"/>
      <c r="I34" s="64"/>
      <c r="J34" s="64"/>
      <c r="K34" s="64"/>
      <c r="L34" s="64"/>
      <c r="M34" s="64"/>
      <c r="N34" s="64"/>
      <c r="O34" s="64"/>
      <c r="P34" s="63"/>
      <c r="Q34" s="63"/>
      <c r="R34" s="63"/>
      <c r="S34" s="63"/>
      <c r="T34" s="63"/>
      <c r="U34" s="63"/>
      <c r="V34" s="63"/>
      <c r="W34" s="64"/>
      <c r="X34" s="64"/>
      <c r="Y34" s="64"/>
      <c r="Z34" s="64"/>
      <c r="AA34" s="64"/>
      <c r="AB34" s="64"/>
      <c r="AC34" s="64"/>
      <c r="AD34" s="63"/>
      <c r="AE34" s="63"/>
      <c r="AF34" s="63"/>
      <c r="AG34" s="63"/>
      <c r="AH34" s="63"/>
      <c r="AI34" s="63"/>
      <c r="AJ34" s="63"/>
      <c r="AK34" s="64"/>
      <c r="AL34" s="64"/>
      <c r="AM34" s="64"/>
      <c r="AN34" s="64"/>
      <c r="AO34" s="64"/>
      <c r="AP34" s="64"/>
      <c r="AQ34" s="64"/>
      <c r="AR34" s="63"/>
      <c r="AS34" s="63"/>
      <c r="AT34" s="63"/>
      <c r="AU34" s="63"/>
      <c r="AV34" s="63"/>
      <c r="AW34" s="63"/>
      <c r="AX34" s="63"/>
      <c r="AY34" s="64"/>
      <c r="AZ34" s="64"/>
      <c r="BA34" s="64"/>
      <c r="BB34" s="64"/>
      <c r="BC34" s="64"/>
      <c r="BD34" s="64"/>
      <c r="BE34" s="64"/>
      <c r="BF34" s="63"/>
      <c r="BG34" s="63"/>
      <c r="BH34" s="63"/>
      <c r="BI34" s="63"/>
      <c r="BJ34" s="63"/>
      <c r="BK34" s="63"/>
      <c r="BL34" s="63"/>
      <c r="BM34" s="64"/>
      <c r="BN34" s="64"/>
      <c r="BO34" s="64"/>
      <c r="BP34" s="64"/>
      <c r="BQ34" s="64"/>
      <c r="BR34" s="64"/>
      <c r="BS34" s="64"/>
      <c r="BT34" s="63"/>
      <c r="BU34" s="63"/>
      <c r="BV34" s="63"/>
      <c r="BW34" s="63"/>
      <c r="BX34" s="63"/>
      <c r="BY34" s="63"/>
      <c r="BZ34" s="63"/>
      <c r="CA34" s="64"/>
      <c r="CB34" s="64"/>
      <c r="CC34" s="64"/>
      <c r="CD34" s="64"/>
      <c r="CE34" s="64"/>
      <c r="CF34" s="64"/>
      <c r="CG34" s="64"/>
      <c r="CH34" s="63"/>
      <c r="CI34" s="63"/>
      <c r="CJ34" s="63"/>
      <c r="CK34" s="63"/>
      <c r="CL34" s="63"/>
      <c r="CM34" s="63"/>
      <c r="CN34" s="63"/>
      <c r="CO34" s="64"/>
      <c r="CP34" s="64"/>
      <c r="CQ34" s="64"/>
      <c r="CR34" s="64"/>
      <c r="CS34" s="64"/>
      <c r="CT34" s="64"/>
      <c r="CU34" s="64"/>
      <c r="CV34" s="63"/>
      <c r="CW34" s="63"/>
      <c r="CX34" s="63"/>
      <c r="CY34" s="63"/>
      <c r="CZ34" s="63"/>
      <c r="DA34" s="63"/>
      <c r="DB34" s="63"/>
      <c r="DC34" s="64"/>
      <c r="DD34" s="64"/>
      <c r="DE34" s="64"/>
      <c r="DF34" s="64"/>
      <c r="DG34" s="64"/>
      <c r="DH34" s="64"/>
      <c r="DI34" s="64"/>
      <c r="DJ34" s="63"/>
      <c r="DK34" s="63"/>
      <c r="DL34" s="63"/>
      <c r="DM34" s="63"/>
      <c r="DN34" s="63"/>
      <c r="DO34" s="63"/>
      <c r="DP34" s="63"/>
      <c r="DQ34" s="64"/>
      <c r="DR34" s="64"/>
      <c r="DS34" s="64"/>
      <c r="DT34" s="64"/>
      <c r="DU34" s="64"/>
      <c r="DV34" s="64"/>
      <c r="DW34" s="64"/>
      <c r="DX34" s="63"/>
      <c r="DY34" s="63"/>
      <c r="DZ34" s="63"/>
      <c r="EA34" s="63"/>
      <c r="EB34" s="63"/>
      <c r="EC34" s="63"/>
      <c r="ED34" s="63"/>
      <c r="EE34" s="64"/>
      <c r="EF34" s="64"/>
      <c r="EG34" s="64"/>
      <c r="EH34" s="64"/>
      <c r="EI34" s="64"/>
      <c r="EJ34" s="64"/>
      <c r="EK34" s="64"/>
      <c r="EL34" s="63"/>
      <c r="EM34" s="63"/>
      <c r="EN34" s="63"/>
      <c r="EO34" s="63"/>
      <c r="EP34" s="63"/>
      <c r="EQ34" s="63"/>
      <c r="ER34" s="63"/>
      <c r="ES34" s="64"/>
      <c r="ET34" s="64"/>
      <c r="EU34" s="64"/>
      <c r="EV34" s="64"/>
      <c r="EW34" s="64"/>
      <c r="EX34" s="64"/>
      <c r="EY34" s="64"/>
      <c r="EZ34" s="63"/>
      <c r="FA34" s="63"/>
      <c r="FB34" s="63"/>
      <c r="FC34" s="63"/>
      <c r="FD34" s="63"/>
      <c r="FE34" s="63"/>
      <c r="FF34" s="63"/>
      <c r="FG34" s="64"/>
      <c r="FH34" s="64"/>
      <c r="FI34" s="64"/>
      <c r="FJ34" s="64"/>
      <c r="FK34" s="64"/>
      <c r="FL34" s="64"/>
      <c r="FM34" s="64"/>
      <c r="FN34" s="63"/>
      <c r="FO34" s="63"/>
      <c r="FP34" s="63"/>
      <c r="FQ34" s="63"/>
      <c r="FR34" s="63"/>
      <c r="FS34" s="63"/>
      <c r="FT34" s="63"/>
      <c r="FU34" s="64"/>
      <c r="FV34" s="64"/>
      <c r="FW34" s="64"/>
      <c r="FX34" s="64"/>
      <c r="FY34" s="64"/>
      <c r="FZ34" s="64"/>
      <c r="GA34" s="64"/>
      <c r="GB34" s="63"/>
      <c r="GC34" s="63"/>
      <c r="GD34" s="63"/>
      <c r="GE34" s="63"/>
      <c r="GF34" s="63"/>
      <c r="GG34" s="63"/>
      <c r="GH34" s="63"/>
      <c r="GI34" s="64"/>
      <c r="GJ34" s="64"/>
      <c r="GK34" s="64"/>
      <c r="GL34" s="64"/>
      <c r="GM34" s="64"/>
      <c r="GN34" s="64"/>
      <c r="GO34" s="64"/>
      <c r="GP34" s="63"/>
      <c r="GQ34" s="63"/>
      <c r="GR34" s="63"/>
      <c r="GS34" s="63"/>
      <c r="GT34" s="63"/>
      <c r="GU34" s="63"/>
      <c r="GV34" s="63"/>
      <c r="GW34" s="64"/>
      <c r="GX34" s="64"/>
      <c r="GY34" s="64"/>
      <c r="GZ34" s="64"/>
      <c r="HA34" s="64"/>
      <c r="HB34" s="64"/>
      <c r="HC34" s="64"/>
      <c r="HD34" s="63"/>
      <c r="HE34" s="63"/>
      <c r="HF34" s="63"/>
      <c r="HG34" s="63"/>
      <c r="HH34" s="63"/>
      <c r="HI34" s="63"/>
      <c r="HJ34" s="63"/>
      <c r="HK34" s="65" t="n">
        <f aca="false">COUNTIF(B34:HJ34,"A")</f>
        <v>0</v>
      </c>
      <c r="HL34" s="66" t="n">
        <f aca="false">COUNTIF(B34:HJ34,"O")</f>
        <v>0</v>
      </c>
      <c r="HM34" s="67" t="n">
        <f aca="false">COUNTIF(B34:HJ34,"D")</f>
        <v>0</v>
      </c>
      <c r="HN34" s="68" t="n">
        <f aca="false">COUNTIF(B34:HJ34,"N/A")</f>
        <v>0</v>
      </c>
      <c r="HO34" s="69" t="n">
        <f aca="false">IFERROR((HK34+HL34)/(HK34+HL34+HM34),0)</f>
        <v>0</v>
      </c>
    </row>
  </sheetData>
  <mergeCells count="39">
    <mergeCell ref="A1:G1"/>
    <mergeCell ref="A2:G2"/>
    <mergeCell ref="A3:A4"/>
    <mergeCell ref="B3:H3"/>
    <mergeCell ref="I3:O3"/>
    <mergeCell ref="P3:V3"/>
    <mergeCell ref="W3:AC3"/>
    <mergeCell ref="AD3:AJ3"/>
    <mergeCell ref="AK3:AQ3"/>
    <mergeCell ref="AR3:AX3"/>
    <mergeCell ref="AY3:BE3"/>
    <mergeCell ref="BF3:BL3"/>
    <mergeCell ref="BM3:BS3"/>
    <mergeCell ref="BT3:BZ3"/>
    <mergeCell ref="CA3:CG3"/>
    <mergeCell ref="CH3:CN3"/>
    <mergeCell ref="CO3:CU3"/>
    <mergeCell ref="CV3:DB3"/>
    <mergeCell ref="DC3:DI3"/>
    <mergeCell ref="DJ3:DP3"/>
    <mergeCell ref="DQ3:DW3"/>
    <mergeCell ref="DX3:ED3"/>
    <mergeCell ref="EE3:EK3"/>
    <mergeCell ref="EL3:ER3"/>
    <mergeCell ref="ES3:EY3"/>
    <mergeCell ref="EZ3:FF3"/>
    <mergeCell ref="FG3:FM3"/>
    <mergeCell ref="FN3:FT3"/>
    <mergeCell ref="FU3:GA3"/>
    <mergeCell ref="GB3:GH3"/>
    <mergeCell ref="GI3:GO3"/>
    <mergeCell ref="GP3:GV3"/>
    <mergeCell ref="GW3:HC3"/>
    <mergeCell ref="HD3:HJ3"/>
    <mergeCell ref="HK3:HK4"/>
    <mergeCell ref="HL3:HL4"/>
    <mergeCell ref="HM3:HM4"/>
    <mergeCell ref="HN3:HN4"/>
    <mergeCell ref="HO3:HO4"/>
  </mergeCells>
  <conditionalFormatting sqref="B5:HJ34">
    <cfRule type="cellIs" priority="2" operator="equal" aboveAverage="0" equalAverage="0" bottom="0" percent="0" rank="0" text="" dxfId="0">
      <formula>"A"</formula>
    </cfRule>
    <cfRule type="cellIs" priority="3" operator="equal" aboveAverage="0" equalAverage="0" bottom="0" percent="0" rank="0" text="" dxfId="1">
      <formula>"O"</formula>
    </cfRule>
    <cfRule type="cellIs" priority="4" operator="equal" aboveAverage="0" equalAverage="0" bottom="0" percent="0" rank="0" text="" dxfId="2">
      <formula>"D"</formula>
    </cfRule>
    <cfRule type="cellIs" priority="5" operator="equal" aboveAverage="0" equalAverage="0" bottom="0" percent="0" rank="0" text="" dxfId="3">
      <formula>"N/A"</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O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22"/>
    <col collapsed="false" customWidth="true" hidden="false" outlineLevel="0" max="218" min="2" style="0" width="3.5"/>
    <col collapsed="false" customWidth="true" hidden="false" outlineLevel="0" max="223" min="219" style="0" width="9"/>
  </cols>
  <sheetData>
    <row r="1" customFormat="false" ht="25.5" hidden="false" customHeight="true" outlineLevel="0" collapsed="false">
      <c r="A1" s="70" t="s">
        <v>912</v>
      </c>
      <c r="B1" s="70"/>
      <c r="C1" s="70"/>
      <c r="D1" s="70"/>
      <c r="E1" s="70"/>
      <c r="F1" s="70"/>
      <c r="G1" s="70"/>
    </row>
    <row r="2" customFormat="false" ht="15" hidden="false" customHeight="false" outlineLevel="0" collapsed="false">
      <c r="A2" s="48" t="s">
        <v>867</v>
      </c>
      <c r="B2" s="48"/>
      <c r="C2" s="48"/>
      <c r="D2" s="48"/>
      <c r="E2" s="48"/>
      <c r="F2" s="48"/>
      <c r="G2" s="48"/>
    </row>
    <row r="3" customFormat="false" ht="27.75" hidden="false" customHeight="true" outlineLevel="0" collapsed="false">
      <c r="A3" s="11" t="s">
        <v>868</v>
      </c>
      <c r="B3" s="49" t="s">
        <v>869</v>
      </c>
      <c r="C3" s="49"/>
      <c r="D3" s="49"/>
      <c r="E3" s="49"/>
      <c r="F3" s="49"/>
      <c r="G3" s="49"/>
      <c r="H3" s="49"/>
      <c r="I3" s="50" t="s">
        <v>870</v>
      </c>
      <c r="J3" s="50"/>
      <c r="K3" s="50"/>
      <c r="L3" s="50"/>
      <c r="M3" s="50"/>
      <c r="N3" s="50"/>
      <c r="O3" s="50"/>
      <c r="P3" s="51" t="s">
        <v>871</v>
      </c>
      <c r="Q3" s="51"/>
      <c r="R3" s="51"/>
      <c r="S3" s="51"/>
      <c r="T3" s="51"/>
      <c r="U3" s="51"/>
      <c r="V3" s="51"/>
      <c r="W3" s="52" t="s">
        <v>872</v>
      </c>
      <c r="X3" s="52"/>
      <c r="Y3" s="52"/>
      <c r="Z3" s="52"/>
      <c r="AA3" s="52"/>
      <c r="AB3" s="52"/>
      <c r="AC3" s="52"/>
      <c r="AD3" s="53" t="s">
        <v>873</v>
      </c>
      <c r="AE3" s="53"/>
      <c r="AF3" s="53"/>
      <c r="AG3" s="53"/>
      <c r="AH3" s="53"/>
      <c r="AI3" s="53"/>
      <c r="AJ3" s="53"/>
      <c r="AK3" s="54" t="s">
        <v>874</v>
      </c>
      <c r="AL3" s="54"/>
      <c r="AM3" s="54"/>
      <c r="AN3" s="54"/>
      <c r="AO3" s="54"/>
      <c r="AP3" s="54"/>
      <c r="AQ3" s="54"/>
      <c r="AR3" s="55" t="s">
        <v>875</v>
      </c>
      <c r="AS3" s="55"/>
      <c r="AT3" s="55"/>
      <c r="AU3" s="55"/>
      <c r="AV3" s="55"/>
      <c r="AW3" s="55"/>
      <c r="AX3" s="55"/>
      <c r="AY3" s="49" t="s">
        <v>876</v>
      </c>
      <c r="AZ3" s="49"/>
      <c r="BA3" s="49"/>
      <c r="BB3" s="49"/>
      <c r="BC3" s="49"/>
      <c r="BD3" s="49"/>
      <c r="BE3" s="49"/>
      <c r="BF3" s="50" t="s">
        <v>877</v>
      </c>
      <c r="BG3" s="50"/>
      <c r="BH3" s="50"/>
      <c r="BI3" s="50"/>
      <c r="BJ3" s="50"/>
      <c r="BK3" s="50"/>
      <c r="BL3" s="50"/>
      <c r="BM3" s="51" t="s">
        <v>878</v>
      </c>
      <c r="BN3" s="51"/>
      <c r="BO3" s="51"/>
      <c r="BP3" s="51"/>
      <c r="BQ3" s="51"/>
      <c r="BR3" s="51"/>
      <c r="BS3" s="51"/>
      <c r="BT3" s="52" t="s">
        <v>879</v>
      </c>
      <c r="BU3" s="52"/>
      <c r="BV3" s="52"/>
      <c r="BW3" s="52"/>
      <c r="BX3" s="52"/>
      <c r="BY3" s="52"/>
      <c r="BZ3" s="52"/>
      <c r="CA3" s="53" t="s">
        <v>880</v>
      </c>
      <c r="CB3" s="53"/>
      <c r="CC3" s="53"/>
      <c r="CD3" s="53"/>
      <c r="CE3" s="53"/>
      <c r="CF3" s="53"/>
      <c r="CG3" s="53"/>
      <c r="CH3" s="54" t="s">
        <v>881</v>
      </c>
      <c r="CI3" s="54"/>
      <c r="CJ3" s="54"/>
      <c r="CK3" s="54"/>
      <c r="CL3" s="54"/>
      <c r="CM3" s="54"/>
      <c r="CN3" s="54"/>
      <c r="CO3" s="55" t="s">
        <v>882</v>
      </c>
      <c r="CP3" s="55"/>
      <c r="CQ3" s="55"/>
      <c r="CR3" s="55"/>
      <c r="CS3" s="55"/>
      <c r="CT3" s="55"/>
      <c r="CU3" s="55"/>
      <c r="CV3" s="49" t="s">
        <v>883</v>
      </c>
      <c r="CW3" s="49"/>
      <c r="CX3" s="49"/>
      <c r="CY3" s="49"/>
      <c r="CZ3" s="49"/>
      <c r="DA3" s="49"/>
      <c r="DB3" s="49"/>
      <c r="DC3" s="50" t="s">
        <v>884</v>
      </c>
      <c r="DD3" s="50"/>
      <c r="DE3" s="50"/>
      <c r="DF3" s="50"/>
      <c r="DG3" s="50"/>
      <c r="DH3" s="50"/>
      <c r="DI3" s="50"/>
      <c r="DJ3" s="51" t="s">
        <v>885</v>
      </c>
      <c r="DK3" s="51"/>
      <c r="DL3" s="51"/>
      <c r="DM3" s="51"/>
      <c r="DN3" s="51"/>
      <c r="DO3" s="51"/>
      <c r="DP3" s="51"/>
      <c r="DQ3" s="52" t="s">
        <v>886</v>
      </c>
      <c r="DR3" s="52"/>
      <c r="DS3" s="52"/>
      <c r="DT3" s="52"/>
      <c r="DU3" s="52"/>
      <c r="DV3" s="52"/>
      <c r="DW3" s="52"/>
      <c r="DX3" s="53" t="s">
        <v>887</v>
      </c>
      <c r="DY3" s="53"/>
      <c r="DZ3" s="53"/>
      <c r="EA3" s="53"/>
      <c r="EB3" s="53"/>
      <c r="EC3" s="53"/>
      <c r="ED3" s="53"/>
      <c r="EE3" s="54" t="s">
        <v>888</v>
      </c>
      <c r="EF3" s="54"/>
      <c r="EG3" s="54"/>
      <c r="EH3" s="54"/>
      <c r="EI3" s="54"/>
      <c r="EJ3" s="54"/>
      <c r="EK3" s="54"/>
      <c r="EL3" s="55" t="s">
        <v>889</v>
      </c>
      <c r="EM3" s="55"/>
      <c r="EN3" s="55"/>
      <c r="EO3" s="55"/>
      <c r="EP3" s="55"/>
      <c r="EQ3" s="55"/>
      <c r="ER3" s="55"/>
      <c r="ES3" s="49" t="s">
        <v>890</v>
      </c>
      <c r="ET3" s="49"/>
      <c r="EU3" s="49"/>
      <c r="EV3" s="49"/>
      <c r="EW3" s="49"/>
      <c r="EX3" s="49"/>
      <c r="EY3" s="49"/>
      <c r="EZ3" s="50" t="s">
        <v>891</v>
      </c>
      <c r="FA3" s="50"/>
      <c r="FB3" s="50"/>
      <c r="FC3" s="50"/>
      <c r="FD3" s="50"/>
      <c r="FE3" s="50"/>
      <c r="FF3" s="50"/>
      <c r="FG3" s="51" t="s">
        <v>892</v>
      </c>
      <c r="FH3" s="51"/>
      <c r="FI3" s="51"/>
      <c r="FJ3" s="51"/>
      <c r="FK3" s="51"/>
      <c r="FL3" s="51"/>
      <c r="FM3" s="51"/>
      <c r="FN3" s="52" t="s">
        <v>893</v>
      </c>
      <c r="FO3" s="52"/>
      <c r="FP3" s="52"/>
      <c r="FQ3" s="52"/>
      <c r="FR3" s="52"/>
      <c r="FS3" s="52"/>
      <c r="FT3" s="52"/>
      <c r="FU3" s="53" t="s">
        <v>894</v>
      </c>
      <c r="FV3" s="53"/>
      <c r="FW3" s="53"/>
      <c r="FX3" s="53"/>
      <c r="FY3" s="53"/>
      <c r="FZ3" s="53"/>
      <c r="GA3" s="53"/>
      <c r="GB3" s="54" t="s">
        <v>895</v>
      </c>
      <c r="GC3" s="54"/>
      <c r="GD3" s="54"/>
      <c r="GE3" s="54"/>
      <c r="GF3" s="54"/>
      <c r="GG3" s="54"/>
      <c r="GH3" s="54"/>
      <c r="GI3" s="55" t="s">
        <v>896</v>
      </c>
      <c r="GJ3" s="55"/>
      <c r="GK3" s="55"/>
      <c r="GL3" s="55"/>
      <c r="GM3" s="55"/>
      <c r="GN3" s="55"/>
      <c r="GO3" s="55"/>
      <c r="GP3" s="49" t="s">
        <v>897</v>
      </c>
      <c r="GQ3" s="49"/>
      <c r="GR3" s="49"/>
      <c r="GS3" s="49"/>
      <c r="GT3" s="49"/>
      <c r="GU3" s="49"/>
      <c r="GV3" s="49"/>
      <c r="GW3" s="50" t="s">
        <v>898</v>
      </c>
      <c r="GX3" s="50"/>
      <c r="GY3" s="50"/>
      <c r="GZ3" s="50"/>
      <c r="HA3" s="50"/>
      <c r="HB3" s="50"/>
      <c r="HC3" s="50"/>
      <c r="HD3" s="51" t="s">
        <v>899</v>
      </c>
      <c r="HE3" s="51"/>
      <c r="HF3" s="51"/>
      <c r="HG3" s="51"/>
      <c r="HH3" s="51"/>
      <c r="HI3" s="51"/>
      <c r="HJ3" s="51"/>
      <c r="HK3" s="56" t="s">
        <v>900</v>
      </c>
      <c r="HL3" s="57" t="s">
        <v>901</v>
      </c>
      <c r="HM3" s="58" t="s">
        <v>902</v>
      </c>
      <c r="HN3" s="59" t="s">
        <v>903</v>
      </c>
      <c r="HO3" s="60" t="s">
        <v>904</v>
      </c>
    </row>
    <row r="4" customFormat="false" ht="13.5" hidden="false" customHeight="true" outlineLevel="0" collapsed="false">
      <c r="A4" s="11"/>
      <c r="B4" s="61" t="s">
        <v>905</v>
      </c>
      <c r="C4" s="61" t="s">
        <v>906</v>
      </c>
      <c r="D4" s="61" t="s">
        <v>907</v>
      </c>
      <c r="E4" s="61" t="s">
        <v>908</v>
      </c>
      <c r="F4" s="61" t="s">
        <v>909</v>
      </c>
      <c r="G4" s="61" t="s">
        <v>910</v>
      </c>
      <c r="H4" s="61" t="s">
        <v>911</v>
      </c>
      <c r="I4" s="61" t="s">
        <v>905</v>
      </c>
      <c r="J4" s="61" t="s">
        <v>906</v>
      </c>
      <c r="K4" s="61" t="s">
        <v>907</v>
      </c>
      <c r="L4" s="61" t="s">
        <v>908</v>
      </c>
      <c r="M4" s="61" t="s">
        <v>909</v>
      </c>
      <c r="N4" s="61" t="s">
        <v>910</v>
      </c>
      <c r="O4" s="61" t="s">
        <v>911</v>
      </c>
      <c r="P4" s="61" t="s">
        <v>905</v>
      </c>
      <c r="Q4" s="61" t="s">
        <v>906</v>
      </c>
      <c r="R4" s="61" t="s">
        <v>907</v>
      </c>
      <c r="S4" s="61" t="s">
        <v>908</v>
      </c>
      <c r="T4" s="61" t="s">
        <v>909</v>
      </c>
      <c r="U4" s="61" t="s">
        <v>910</v>
      </c>
      <c r="V4" s="61" t="s">
        <v>911</v>
      </c>
      <c r="W4" s="61" t="s">
        <v>905</v>
      </c>
      <c r="X4" s="61" t="s">
        <v>906</v>
      </c>
      <c r="Y4" s="61" t="s">
        <v>907</v>
      </c>
      <c r="Z4" s="61" t="s">
        <v>908</v>
      </c>
      <c r="AA4" s="61" t="s">
        <v>909</v>
      </c>
      <c r="AB4" s="61" t="s">
        <v>910</v>
      </c>
      <c r="AC4" s="61" t="s">
        <v>911</v>
      </c>
      <c r="AD4" s="61" t="s">
        <v>905</v>
      </c>
      <c r="AE4" s="61" t="s">
        <v>906</v>
      </c>
      <c r="AF4" s="61" t="s">
        <v>907</v>
      </c>
      <c r="AG4" s="61" t="s">
        <v>908</v>
      </c>
      <c r="AH4" s="61" t="s">
        <v>909</v>
      </c>
      <c r="AI4" s="61" t="s">
        <v>910</v>
      </c>
      <c r="AJ4" s="61" t="s">
        <v>911</v>
      </c>
      <c r="AK4" s="61" t="s">
        <v>905</v>
      </c>
      <c r="AL4" s="61" t="s">
        <v>906</v>
      </c>
      <c r="AM4" s="61" t="s">
        <v>907</v>
      </c>
      <c r="AN4" s="61" t="s">
        <v>908</v>
      </c>
      <c r="AO4" s="61" t="s">
        <v>909</v>
      </c>
      <c r="AP4" s="61" t="s">
        <v>910</v>
      </c>
      <c r="AQ4" s="61" t="s">
        <v>911</v>
      </c>
      <c r="AR4" s="61" t="s">
        <v>905</v>
      </c>
      <c r="AS4" s="61" t="s">
        <v>906</v>
      </c>
      <c r="AT4" s="61" t="s">
        <v>907</v>
      </c>
      <c r="AU4" s="61" t="s">
        <v>908</v>
      </c>
      <c r="AV4" s="61" t="s">
        <v>909</v>
      </c>
      <c r="AW4" s="61" t="s">
        <v>910</v>
      </c>
      <c r="AX4" s="61" t="s">
        <v>911</v>
      </c>
      <c r="AY4" s="61" t="s">
        <v>905</v>
      </c>
      <c r="AZ4" s="61" t="s">
        <v>906</v>
      </c>
      <c r="BA4" s="61" t="s">
        <v>907</v>
      </c>
      <c r="BB4" s="61" t="s">
        <v>908</v>
      </c>
      <c r="BC4" s="61" t="s">
        <v>909</v>
      </c>
      <c r="BD4" s="61" t="s">
        <v>910</v>
      </c>
      <c r="BE4" s="61" t="s">
        <v>911</v>
      </c>
      <c r="BF4" s="61" t="s">
        <v>905</v>
      </c>
      <c r="BG4" s="61" t="s">
        <v>906</v>
      </c>
      <c r="BH4" s="61" t="s">
        <v>907</v>
      </c>
      <c r="BI4" s="61" t="s">
        <v>908</v>
      </c>
      <c r="BJ4" s="61" t="s">
        <v>909</v>
      </c>
      <c r="BK4" s="61" t="s">
        <v>910</v>
      </c>
      <c r="BL4" s="61" t="s">
        <v>911</v>
      </c>
      <c r="BM4" s="61" t="s">
        <v>905</v>
      </c>
      <c r="BN4" s="61" t="s">
        <v>906</v>
      </c>
      <c r="BO4" s="61" t="s">
        <v>907</v>
      </c>
      <c r="BP4" s="61" t="s">
        <v>908</v>
      </c>
      <c r="BQ4" s="61" t="s">
        <v>909</v>
      </c>
      <c r="BR4" s="61" t="s">
        <v>910</v>
      </c>
      <c r="BS4" s="61" t="s">
        <v>911</v>
      </c>
      <c r="BT4" s="61" t="s">
        <v>905</v>
      </c>
      <c r="BU4" s="61" t="s">
        <v>906</v>
      </c>
      <c r="BV4" s="61" t="s">
        <v>907</v>
      </c>
      <c r="BW4" s="61" t="s">
        <v>908</v>
      </c>
      <c r="BX4" s="61" t="s">
        <v>909</v>
      </c>
      <c r="BY4" s="61" t="s">
        <v>910</v>
      </c>
      <c r="BZ4" s="61" t="s">
        <v>911</v>
      </c>
      <c r="CA4" s="61" t="s">
        <v>905</v>
      </c>
      <c r="CB4" s="61" t="s">
        <v>906</v>
      </c>
      <c r="CC4" s="61" t="s">
        <v>907</v>
      </c>
      <c r="CD4" s="61" t="s">
        <v>908</v>
      </c>
      <c r="CE4" s="61" t="s">
        <v>909</v>
      </c>
      <c r="CF4" s="61" t="s">
        <v>910</v>
      </c>
      <c r="CG4" s="61" t="s">
        <v>911</v>
      </c>
      <c r="CH4" s="61" t="s">
        <v>905</v>
      </c>
      <c r="CI4" s="61" t="s">
        <v>906</v>
      </c>
      <c r="CJ4" s="61" t="s">
        <v>907</v>
      </c>
      <c r="CK4" s="61" t="s">
        <v>908</v>
      </c>
      <c r="CL4" s="61" t="s">
        <v>909</v>
      </c>
      <c r="CM4" s="61" t="s">
        <v>910</v>
      </c>
      <c r="CN4" s="61" t="s">
        <v>911</v>
      </c>
      <c r="CO4" s="61" t="s">
        <v>905</v>
      </c>
      <c r="CP4" s="61" t="s">
        <v>906</v>
      </c>
      <c r="CQ4" s="61" t="s">
        <v>907</v>
      </c>
      <c r="CR4" s="61" t="s">
        <v>908</v>
      </c>
      <c r="CS4" s="61" t="s">
        <v>909</v>
      </c>
      <c r="CT4" s="61" t="s">
        <v>910</v>
      </c>
      <c r="CU4" s="61" t="s">
        <v>911</v>
      </c>
      <c r="CV4" s="61" t="s">
        <v>905</v>
      </c>
      <c r="CW4" s="61" t="s">
        <v>906</v>
      </c>
      <c r="CX4" s="61" t="s">
        <v>907</v>
      </c>
      <c r="CY4" s="61" t="s">
        <v>908</v>
      </c>
      <c r="CZ4" s="61" t="s">
        <v>909</v>
      </c>
      <c r="DA4" s="61" t="s">
        <v>910</v>
      </c>
      <c r="DB4" s="61" t="s">
        <v>911</v>
      </c>
      <c r="DC4" s="61" t="s">
        <v>905</v>
      </c>
      <c r="DD4" s="61" t="s">
        <v>906</v>
      </c>
      <c r="DE4" s="61" t="s">
        <v>907</v>
      </c>
      <c r="DF4" s="61" t="s">
        <v>908</v>
      </c>
      <c r="DG4" s="61" t="s">
        <v>909</v>
      </c>
      <c r="DH4" s="61" t="s">
        <v>910</v>
      </c>
      <c r="DI4" s="61" t="s">
        <v>911</v>
      </c>
      <c r="DJ4" s="61" t="s">
        <v>905</v>
      </c>
      <c r="DK4" s="61" t="s">
        <v>906</v>
      </c>
      <c r="DL4" s="61" t="s">
        <v>907</v>
      </c>
      <c r="DM4" s="61" t="s">
        <v>908</v>
      </c>
      <c r="DN4" s="61" t="s">
        <v>909</v>
      </c>
      <c r="DO4" s="61" t="s">
        <v>910</v>
      </c>
      <c r="DP4" s="61" t="s">
        <v>911</v>
      </c>
      <c r="DQ4" s="61" t="s">
        <v>905</v>
      </c>
      <c r="DR4" s="61" t="s">
        <v>906</v>
      </c>
      <c r="DS4" s="61" t="s">
        <v>907</v>
      </c>
      <c r="DT4" s="61" t="s">
        <v>908</v>
      </c>
      <c r="DU4" s="61" t="s">
        <v>909</v>
      </c>
      <c r="DV4" s="61" t="s">
        <v>910</v>
      </c>
      <c r="DW4" s="61" t="s">
        <v>911</v>
      </c>
      <c r="DX4" s="61" t="s">
        <v>905</v>
      </c>
      <c r="DY4" s="61" t="s">
        <v>906</v>
      </c>
      <c r="DZ4" s="61" t="s">
        <v>907</v>
      </c>
      <c r="EA4" s="61" t="s">
        <v>908</v>
      </c>
      <c r="EB4" s="61" t="s">
        <v>909</v>
      </c>
      <c r="EC4" s="61" t="s">
        <v>910</v>
      </c>
      <c r="ED4" s="61" t="s">
        <v>911</v>
      </c>
      <c r="EE4" s="61" t="s">
        <v>905</v>
      </c>
      <c r="EF4" s="61" t="s">
        <v>906</v>
      </c>
      <c r="EG4" s="61" t="s">
        <v>907</v>
      </c>
      <c r="EH4" s="61" t="s">
        <v>908</v>
      </c>
      <c r="EI4" s="61" t="s">
        <v>909</v>
      </c>
      <c r="EJ4" s="61" t="s">
        <v>910</v>
      </c>
      <c r="EK4" s="61" t="s">
        <v>911</v>
      </c>
      <c r="EL4" s="61" t="s">
        <v>905</v>
      </c>
      <c r="EM4" s="61" t="s">
        <v>906</v>
      </c>
      <c r="EN4" s="61" t="s">
        <v>907</v>
      </c>
      <c r="EO4" s="61" t="s">
        <v>908</v>
      </c>
      <c r="EP4" s="61" t="s">
        <v>909</v>
      </c>
      <c r="EQ4" s="61" t="s">
        <v>910</v>
      </c>
      <c r="ER4" s="61" t="s">
        <v>911</v>
      </c>
      <c r="ES4" s="61" t="s">
        <v>905</v>
      </c>
      <c r="ET4" s="61" t="s">
        <v>906</v>
      </c>
      <c r="EU4" s="61" t="s">
        <v>907</v>
      </c>
      <c r="EV4" s="61" t="s">
        <v>908</v>
      </c>
      <c r="EW4" s="61" t="s">
        <v>909</v>
      </c>
      <c r="EX4" s="61" t="s">
        <v>910</v>
      </c>
      <c r="EY4" s="61" t="s">
        <v>911</v>
      </c>
      <c r="EZ4" s="61" t="s">
        <v>905</v>
      </c>
      <c r="FA4" s="61" t="s">
        <v>906</v>
      </c>
      <c r="FB4" s="61" t="s">
        <v>907</v>
      </c>
      <c r="FC4" s="61" t="s">
        <v>908</v>
      </c>
      <c r="FD4" s="61" t="s">
        <v>909</v>
      </c>
      <c r="FE4" s="61" t="s">
        <v>910</v>
      </c>
      <c r="FF4" s="61" t="s">
        <v>911</v>
      </c>
      <c r="FG4" s="61" t="s">
        <v>905</v>
      </c>
      <c r="FH4" s="61" t="s">
        <v>906</v>
      </c>
      <c r="FI4" s="61" t="s">
        <v>907</v>
      </c>
      <c r="FJ4" s="61" t="s">
        <v>908</v>
      </c>
      <c r="FK4" s="61" t="s">
        <v>909</v>
      </c>
      <c r="FL4" s="61" t="s">
        <v>910</v>
      </c>
      <c r="FM4" s="61" t="s">
        <v>911</v>
      </c>
      <c r="FN4" s="61" t="s">
        <v>905</v>
      </c>
      <c r="FO4" s="61" t="s">
        <v>906</v>
      </c>
      <c r="FP4" s="61" t="s">
        <v>907</v>
      </c>
      <c r="FQ4" s="61" t="s">
        <v>908</v>
      </c>
      <c r="FR4" s="61" t="s">
        <v>909</v>
      </c>
      <c r="FS4" s="61" t="s">
        <v>910</v>
      </c>
      <c r="FT4" s="61" t="s">
        <v>911</v>
      </c>
      <c r="FU4" s="61" t="s">
        <v>905</v>
      </c>
      <c r="FV4" s="61" t="s">
        <v>906</v>
      </c>
      <c r="FW4" s="61" t="s">
        <v>907</v>
      </c>
      <c r="FX4" s="61" t="s">
        <v>908</v>
      </c>
      <c r="FY4" s="61" t="s">
        <v>909</v>
      </c>
      <c r="FZ4" s="61" t="s">
        <v>910</v>
      </c>
      <c r="GA4" s="61" t="s">
        <v>911</v>
      </c>
      <c r="GB4" s="61" t="s">
        <v>905</v>
      </c>
      <c r="GC4" s="61" t="s">
        <v>906</v>
      </c>
      <c r="GD4" s="61" t="s">
        <v>907</v>
      </c>
      <c r="GE4" s="61" t="s">
        <v>908</v>
      </c>
      <c r="GF4" s="61" t="s">
        <v>909</v>
      </c>
      <c r="GG4" s="61" t="s">
        <v>910</v>
      </c>
      <c r="GH4" s="61" t="s">
        <v>911</v>
      </c>
      <c r="GI4" s="61" t="s">
        <v>905</v>
      </c>
      <c r="GJ4" s="61" t="s">
        <v>906</v>
      </c>
      <c r="GK4" s="61" t="s">
        <v>907</v>
      </c>
      <c r="GL4" s="61" t="s">
        <v>908</v>
      </c>
      <c r="GM4" s="61" t="s">
        <v>909</v>
      </c>
      <c r="GN4" s="61" t="s">
        <v>910</v>
      </c>
      <c r="GO4" s="61" t="s">
        <v>911</v>
      </c>
      <c r="GP4" s="61" t="s">
        <v>905</v>
      </c>
      <c r="GQ4" s="61" t="s">
        <v>906</v>
      </c>
      <c r="GR4" s="61" t="s">
        <v>907</v>
      </c>
      <c r="GS4" s="61" t="s">
        <v>908</v>
      </c>
      <c r="GT4" s="61" t="s">
        <v>909</v>
      </c>
      <c r="GU4" s="61" t="s">
        <v>910</v>
      </c>
      <c r="GV4" s="61" t="s">
        <v>911</v>
      </c>
      <c r="GW4" s="61" t="s">
        <v>905</v>
      </c>
      <c r="GX4" s="61" t="s">
        <v>906</v>
      </c>
      <c r="GY4" s="61" t="s">
        <v>907</v>
      </c>
      <c r="GZ4" s="61" t="s">
        <v>908</v>
      </c>
      <c r="HA4" s="61" t="s">
        <v>909</v>
      </c>
      <c r="HB4" s="61" t="s">
        <v>910</v>
      </c>
      <c r="HC4" s="61" t="s">
        <v>911</v>
      </c>
      <c r="HD4" s="61" t="s">
        <v>905</v>
      </c>
      <c r="HE4" s="61" t="s">
        <v>906</v>
      </c>
      <c r="HF4" s="61" t="s">
        <v>907</v>
      </c>
      <c r="HG4" s="61" t="s">
        <v>908</v>
      </c>
      <c r="HH4" s="61" t="s">
        <v>909</v>
      </c>
      <c r="HI4" s="61" t="s">
        <v>910</v>
      </c>
      <c r="HJ4" s="61" t="s">
        <v>911</v>
      </c>
      <c r="HK4" s="56"/>
      <c r="HL4" s="56"/>
      <c r="HM4" s="56"/>
      <c r="HN4" s="56"/>
      <c r="HO4" s="56"/>
    </row>
    <row r="5" customFormat="false" ht="15.75" hidden="false" customHeight="true" outlineLevel="0" collapsed="false">
      <c r="A5" s="62" t="str">
        <f aca="false">Roster!B5</f>
        <v>Resident 1</v>
      </c>
      <c r="B5" s="63"/>
      <c r="C5" s="63"/>
      <c r="D5" s="63"/>
      <c r="E5" s="63"/>
      <c r="F5" s="63"/>
      <c r="G5" s="63"/>
      <c r="H5" s="63"/>
      <c r="I5" s="64"/>
      <c r="J5" s="64"/>
      <c r="K5" s="64"/>
      <c r="L5" s="64"/>
      <c r="M5" s="64"/>
      <c r="N5" s="64"/>
      <c r="O5" s="64"/>
      <c r="P5" s="63"/>
      <c r="Q5" s="63"/>
      <c r="R5" s="63"/>
      <c r="S5" s="63"/>
      <c r="T5" s="63"/>
      <c r="U5" s="63"/>
      <c r="V5" s="63"/>
      <c r="W5" s="64"/>
      <c r="X5" s="64"/>
      <c r="Y5" s="64"/>
      <c r="Z5" s="64"/>
      <c r="AA5" s="64"/>
      <c r="AB5" s="64"/>
      <c r="AC5" s="64"/>
      <c r="AD5" s="63"/>
      <c r="AE5" s="63"/>
      <c r="AF5" s="63"/>
      <c r="AG5" s="63"/>
      <c r="AH5" s="63"/>
      <c r="AI5" s="63"/>
      <c r="AJ5" s="63"/>
      <c r="AK5" s="64"/>
      <c r="AL5" s="64"/>
      <c r="AM5" s="64"/>
      <c r="AN5" s="64"/>
      <c r="AO5" s="64"/>
      <c r="AP5" s="64"/>
      <c r="AQ5" s="64"/>
      <c r="AR5" s="63"/>
      <c r="AS5" s="63"/>
      <c r="AT5" s="63"/>
      <c r="AU5" s="63"/>
      <c r="AV5" s="63"/>
      <c r="AW5" s="63"/>
      <c r="AX5" s="63"/>
      <c r="AY5" s="64"/>
      <c r="AZ5" s="64"/>
      <c r="BA5" s="64"/>
      <c r="BB5" s="64"/>
      <c r="BC5" s="64"/>
      <c r="BD5" s="64"/>
      <c r="BE5" s="64"/>
      <c r="BF5" s="63"/>
      <c r="BG5" s="63"/>
      <c r="BH5" s="63"/>
      <c r="BI5" s="63"/>
      <c r="BJ5" s="63"/>
      <c r="BK5" s="63"/>
      <c r="BL5" s="63"/>
      <c r="BM5" s="64"/>
      <c r="BN5" s="64"/>
      <c r="BO5" s="64"/>
      <c r="BP5" s="64"/>
      <c r="BQ5" s="64"/>
      <c r="BR5" s="64"/>
      <c r="BS5" s="64"/>
      <c r="BT5" s="63"/>
      <c r="BU5" s="63"/>
      <c r="BV5" s="63"/>
      <c r="BW5" s="63"/>
      <c r="BX5" s="63"/>
      <c r="BY5" s="63"/>
      <c r="BZ5" s="63"/>
      <c r="CA5" s="64"/>
      <c r="CB5" s="64"/>
      <c r="CC5" s="64"/>
      <c r="CD5" s="64"/>
      <c r="CE5" s="64"/>
      <c r="CF5" s="64"/>
      <c r="CG5" s="64"/>
      <c r="CH5" s="63"/>
      <c r="CI5" s="63"/>
      <c r="CJ5" s="63"/>
      <c r="CK5" s="63"/>
      <c r="CL5" s="63"/>
      <c r="CM5" s="63"/>
      <c r="CN5" s="63"/>
      <c r="CO5" s="64"/>
      <c r="CP5" s="64"/>
      <c r="CQ5" s="64"/>
      <c r="CR5" s="64"/>
      <c r="CS5" s="64"/>
      <c r="CT5" s="64"/>
      <c r="CU5" s="64"/>
      <c r="CV5" s="63"/>
      <c r="CW5" s="63"/>
      <c r="CX5" s="63"/>
      <c r="CY5" s="63"/>
      <c r="CZ5" s="63"/>
      <c r="DA5" s="63"/>
      <c r="DB5" s="63"/>
      <c r="DC5" s="64"/>
      <c r="DD5" s="64"/>
      <c r="DE5" s="64"/>
      <c r="DF5" s="64"/>
      <c r="DG5" s="64"/>
      <c r="DH5" s="64"/>
      <c r="DI5" s="64"/>
      <c r="DJ5" s="63"/>
      <c r="DK5" s="63"/>
      <c r="DL5" s="63"/>
      <c r="DM5" s="63"/>
      <c r="DN5" s="63"/>
      <c r="DO5" s="63"/>
      <c r="DP5" s="63"/>
      <c r="DQ5" s="64"/>
      <c r="DR5" s="64"/>
      <c r="DS5" s="64"/>
      <c r="DT5" s="64"/>
      <c r="DU5" s="64"/>
      <c r="DV5" s="64"/>
      <c r="DW5" s="64"/>
      <c r="DX5" s="63"/>
      <c r="DY5" s="63"/>
      <c r="DZ5" s="63"/>
      <c r="EA5" s="63"/>
      <c r="EB5" s="63"/>
      <c r="EC5" s="63"/>
      <c r="ED5" s="63"/>
      <c r="EE5" s="64"/>
      <c r="EF5" s="64"/>
      <c r="EG5" s="64"/>
      <c r="EH5" s="64"/>
      <c r="EI5" s="64"/>
      <c r="EJ5" s="64"/>
      <c r="EK5" s="64"/>
      <c r="EL5" s="63"/>
      <c r="EM5" s="63"/>
      <c r="EN5" s="63"/>
      <c r="EO5" s="63"/>
      <c r="EP5" s="63"/>
      <c r="EQ5" s="63"/>
      <c r="ER5" s="63"/>
      <c r="ES5" s="64"/>
      <c r="ET5" s="64"/>
      <c r="EU5" s="64"/>
      <c r="EV5" s="64"/>
      <c r="EW5" s="64"/>
      <c r="EX5" s="64"/>
      <c r="EY5" s="64"/>
      <c r="EZ5" s="63"/>
      <c r="FA5" s="63"/>
      <c r="FB5" s="63"/>
      <c r="FC5" s="63"/>
      <c r="FD5" s="63"/>
      <c r="FE5" s="63"/>
      <c r="FF5" s="63"/>
      <c r="FG5" s="64"/>
      <c r="FH5" s="64"/>
      <c r="FI5" s="64"/>
      <c r="FJ5" s="64"/>
      <c r="FK5" s="64"/>
      <c r="FL5" s="64"/>
      <c r="FM5" s="64"/>
      <c r="FN5" s="63"/>
      <c r="FO5" s="63"/>
      <c r="FP5" s="63"/>
      <c r="FQ5" s="63"/>
      <c r="FR5" s="63"/>
      <c r="FS5" s="63"/>
      <c r="FT5" s="63"/>
      <c r="FU5" s="64"/>
      <c r="FV5" s="64"/>
      <c r="FW5" s="64"/>
      <c r="FX5" s="64"/>
      <c r="FY5" s="64"/>
      <c r="FZ5" s="64"/>
      <c r="GA5" s="64"/>
      <c r="GB5" s="63"/>
      <c r="GC5" s="63"/>
      <c r="GD5" s="63"/>
      <c r="GE5" s="63"/>
      <c r="GF5" s="63"/>
      <c r="GG5" s="63"/>
      <c r="GH5" s="63"/>
      <c r="GI5" s="64"/>
      <c r="GJ5" s="64"/>
      <c r="GK5" s="64"/>
      <c r="GL5" s="64"/>
      <c r="GM5" s="64"/>
      <c r="GN5" s="64"/>
      <c r="GO5" s="64"/>
      <c r="GP5" s="63"/>
      <c r="GQ5" s="63"/>
      <c r="GR5" s="63"/>
      <c r="GS5" s="63"/>
      <c r="GT5" s="63"/>
      <c r="GU5" s="63"/>
      <c r="GV5" s="63"/>
      <c r="GW5" s="64"/>
      <c r="GX5" s="64"/>
      <c r="GY5" s="64"/>
      <c r="GZ5" s="64"/>
      <c r="HA5" s="64"/>
      <c r="HB5" s="64"/>
      <c r="HC5" s="64"/>
      <c r="HD5" s="63"/>
      <c r="HE5" s="63"/>
      <c r="HF5" s="63"/>
      <c r="HG5" s="63"/>
      <c r="HH5" s="63"/>
      <c r="HI5" s="63"/>
      <c r="HJ5" s="63"/>
      <c r="HK5" s="65" t="n">
        <f aca="false">COUNTIF(B5:HJ5,"A")</f>
        <v>0</v>
      </c>
      <c r="HL5" s="66" t="n">
        <f aca="false">COUNTIF(B5:HJ5,"O")</f>
        <v>0</v>
      </c>
      <c r="HM5" s="67" t="n">
        <f aca="false">COUNTIF(B5:HJ5,"D")</f>
        <v>0</v>
      </c>
      <c r="HN5" s="68" t="n">
        <f aca="false">COUNTIF(B5:HJ5,"N/A")</f>
        <v>0</v>
      </c>
      <c r="HO5" s="69" t="n">
        <f aca="false">IFERROR((HK5+HL5)/(HK5+HL5+HM5),0)</f>
        <v>0</v>
      </c>
    </row>
    <row r="6" customFormat="false" ht="15.75" hidden="false" customHeight="true" outlineLevel="0" collapsed="false">
      <c r="A6" s="62" t="str">
        <f aca="false">Roster!B6</f>
        <v>Resident 2</v>
      </c>
      <c r="B6" s="63"/>
      <c r="C6" s="63"/>
      <c r="D6" s="63"/>
      <c r="E6" s="63"/>
      <c r="F6" s="63"/>
      <c r="G6" s="63"/>
      <c r="H6" s="63"/>
      <c r="I6" s="64"/>
      <c r="J6" s="64"/>
      <c r="K6" s="64"/>
      <c r="L6" s="64"/>
      <c r="M6" s="64"/>
      <c r="N6" s="64"/>
      <c r="O6" s="64"/>
      <c r="P6" s="63"/>
      <c r="Q6" s="63"/>
      <c r="R6" s="63"/>
      <c r="S6" s="63"/>
      <c r="T6" s="63"/>
      <c r="U6" s="63"/>
      <c r="V6" s="63"/>
      <c r="W6" s="64"/>
      <c r="X6" s="64"/>
      <c r="Y6" s="64"/>
      <c r="Z6" s="64"/>
      <c r="AA6" s="64"/>
      <c r="AB6" s="64"/>
      <c r="AC6" s="64"/>
      <c r="AD6" s="63"/>
      <c r="AE6" s="63"/>
      <c r="AF6" s="63"/>
      <c r="AG6" s="63"/>
      <c r="AH6" s="63"/>
      <c r="AI6" s="63"/>
      <c r="AJ6" s="63"/>
      <c r="AK6" s="64"/>
      <c r="AL6" s="64"/>
      <c r="AM6" s="64"/>
      <c r="AN6" s="64"/>
      <c r="AO6" s="64"/>
      <c r="AP6" s="64"/>
      <c r="AQ6" s="64"/>
      <c r="AR6" s="63"/>
      <c r="AS6" s="63"/>
      <c r="AT6" s="63"/>
      <c r="AU6" s="63"/>
      <c r="AV6" s="63"/>
      <c r="AW6" s="63"/>
      <c r="AX6" s="63"/>
      <c r="AY6" s="64"/>
      <c r="AZ6" s="64"/>
      <c r="BA6" s="64"/>
      <c r="BB6" s="64"/>
      <c r="BC6" s="64"/>
      <c r="BD6" s="64"/>
      <c r="BE6" s="64"/>
      <c r="BF6" s="63"/>
      <c r="BG6" s="63"/>
      <c r="BH6" s="63"/>
      <c r="BI6" s="63"/>
      <c r="BJ6" s="63"/>
      <c r="BK6" s="63"/>
      <c r="BL6" s="63"/>
      <c r="BM6" s="64"/>
      <c r="BN6" s="64"/>
      <c r="BO6" s="64"/>
      <c r="BP6" s="64"/>
      <c r="BQ6" s="64"/>
      <c r="BR6" s="64"/>
      <c r="BS6" s="64"/>
      <c r="BT6" s="63"/>
      <c r="BU6" s="63"/>
      <c r="BV6" s="63"/>
      <c r="BW6" s="63"/>
      <c r="BX6" s="63"/>
      <c r="BY6" s="63"/>
      <c r="BZ6" s="63"/>
      <c r="CA6" s="64"/>
      <c r="CB6" s="64"/>
      <c r="CC6" s="64"/>
      <c r="CD6" s="64"/>
      <c r="CE6" s="64"/>
      <c r="CF6" s="64"/>
      <c r="CG6" s="64"/>
      <c r="CH6" s="63"/>
      <c r="CI6" s="63"/>
      <c r="CJ6" s="63"/>
      <c r="CK6" s="63"/>
      <c r="CL6" s="63"/>
      <c r="CM6" s="63"/>
      <c r="CN6" s="63"/>
      <c r="CO6" s="64"/>
      <c r="CP6" s="64"/>
      <c r="CQ6" s="64"/>
      <c r="CR6" s="64"/>
      <c r="CS6" s="64"/>
      <c r="CT6" s="64"/>
      <c r="CU6" s="64"/>
      <c r="CV6" s="63"/>
      <c r="CW6" s="63"/>
      <c r="CX6" s="63"/>
      <c r="CY6" s="63"/>
      <c r="CZ6" s="63"/>
      <c r="DA6" s="63"/>
      <c r="DB6" s="63"/>
      <c r="DC6" s="64"/>
      <c r="DD6" s="64"/>
      <c r="DE6" s="64"/>
      <c r="DF6" s="64"/>
      <c r="DG6" s="64"/>
      <c r="DH6" s="64"/>
      <c r="DI6" s="64"/>
      <c r="DJ6" s="63"/>
      <c r="DK6" s="63"/>
      <c r="DL6" s="63"/>
      <c r="DM6" s="63"/>
      <c r="DN6" s="63"/>
      <c r="DO6" s="63"/>
      <c r="DP6" s="63"/>
      <c r="DQ6" s="64"/>
      <c r="DR6" s="64"/>
      <c r="DS6" s="64"/>
      <c r="DT6" s="64"/>
      <c r="DU6" s="64"/>
      <c r="DV6" s="64"/>
      <c r="DW6" s="64"/>
      <c r="DX6" s="63"/>
      <c r="DY6" s="63"/>
      <c r="DZ6" s="63"/>
      <c r="EA6" s="63"/>
      <c r="EB6" s="63"/>
      <c r="EC6" s="63"/>
      <c r="ED6" s="63"/>
      <c r="EE6" s="64"/>
      <c r="EF6" s="64"/>
      <c r="EG6" s="64"/>
      <c r="EH6" s="64"/>
      <c r="EI6" s="64"/>
      <c r="EJ6" s="64"/>
      <c r="EK6" s="64"/>
      <c r="EL6" s="63"/>
      <c r="EM6" s="63"/>
      <c r="EN6" s="63"/>
      <c r="EO6" s="63"/>
      <c r="EP6" s="63"/>
      <c r="EQ6" s="63"/>
      <c r="ER6" s="63"/>
      <c r="ES6" s="64"/>
      <c r="ET6" s="64"/>
      <c r="EU6" s="64"/>
      <c r="EV6" s="64"/>
      <c r="EW6" s="64"/>
      <c r="EX6" s="64"/>
      <c r="EY6" s="64"/>
      <c r="EZ6" s="63"/>
      <c r="FA6" s="63"/>
      <c r="FB6" s="63"/>
      <c r="FC6" s="63"/>
      <c r="FD6" s="63"/>
      <c r="FE6" s="63"/>
      <c r="FF6" s="63"/>
      <c r="FG6" s="64"/>
      <c r="FH6" s="64"/>
      <c r="FI6" s="64"/>
      <c r="FJ6" s="64"/>
      <c r="FK6" s="64"/>
      <c r="FL6" s="64"/>
      <c r="FM6" s="64"/>
      <c r="FN6" s="63"/>
      <c r="FO6" s="63"/>
      <c r="FP6" s="63"/>
      <c r="FQ6" s="63"/>
      <c r="FR6" s="63"/>
      <c r="FS6" s="63"/>
      <c r="FT6" s="63"/>
      <c r="FU6" s="64"/>
      <c r="FV6" s="64"/>
      <c r="FW6" s="64"/>
      <c r="FX6" s="64"/>
      <c r="FY6" s="64"/>
      <c r="FZ6" s="64"/>
      <c r="GA6" s="64"/>
      <c r="GB6" s="63"/>
      <c r="GC6" s="63"/>
      <c r="GD6" s="63"/>
      <c r="GE6" s="63"/>
      <c r="GF6" s="63"/>
      <c r="GG6" s="63"/>
      <c r="GH6" s="63"/>
      <c r="GI6" s="64"/>
      <c r="GJ6" s="64"/>
      <c r="GK6" s="64"/>
      <c r="GL6" s="64"/>
      <c r="GM6" s="64"/>
      <c r="GN6" s="64"/>
      <c r="GO6" s="64"/>
      <c r="GP6" s="63"/>
      <c r="GQ6" s="63"/>
      <c r="GR6" s="63"/>
      <c r="GS6" s="63"/>
      <c r="GT6" s="63"/>
      <c r="GU6" s="63"/>
      <c r="GV6" s="63"/>
      <c r="GW6" s="64"/>
      <c r="GX6" s="64"/>
      <c r="GY6" s="64"/>
      <c r="GZ6" s="64"/>
      <c r="HA6" s="64"/>
      <c r="HB6" s="64"/>
      <c r="HC6" s="64"/>
      <c r="HD6" s="63"/>
      <c r="HE6" s="63"/>
      <c r="HF6" s="63"/>
      <c r="HG6" s="63"/>
      <c r="HH6" s="63"/>
      <c r="HI6" s="63"/>
      <c r="HJ6" s="63"/>
      <c r="HK6" s="65" t="n">
        <f aca="false">COUNTIF(B6:HJ6,"A")</f>
        <v>0</v>
      </c>
      <c r="HL6" s="66" t="n">
        <f aca="false">COUNTIF(B6:HJ6,"O")</f>
        <v>0</v>
      </c>
      <c r="HM6" s="67" t="n">
        <f aca="false">COUNTIF(B6:HJ6,"D")</f>
        <v>0</v>
      </c>
      <c r="HN6" s="68" t="n">
        <f aca="false">COUNTIF(B6:HJ6,"N/A")</f>
        <v>0</v>
      </c>
      <c r="HO6" s="69" t="n">
        <f aca="false">IFERROR((HK6+HL6)/(HK6+HL6+HM6),0)</f>
        <v>0</v>
      </c>
    </row>
    <row r="7" customFormat="false" ht="15.75" hidden="false" customHeight="true" outlineLevel="0" collapsed="false">
      <c r="A7" s="62" t="str">
        <f aca="false">Roster!B7</f>
        <v>Resident 3</v>
      </c>
      <c r="B7" s="63"/>
      <c r="C7" s="63"/>
      <c r="D7" s="63"/>
      <c r="E7" s="63"/>
      <c r="F7" s="63"/>
      <c r="G7" s="63"/>
      <c r="H7" s="63"/>
      <c r="I7" s="64"/>
      <c r="J7" s="64"/>
      <c r="K7" s="64"/>
      <c r="L7" s="64"/>
      <c r="M7" s="64"/>
      <c r="N7" s="64"/>
      <c r="O7" s="64"/>
      <c r="P7" s="63"/>
      <c r="Q7" s="63"/>
      <c r="R7" s="63"/>
      <c r="S7" s="63"/>
      <c r="T7" s="63"/>
      <c r="U7" s="63"/>
      <c r="V7" s="63"/>
      <c r="W7" s="64"/>
      <c r="X7" s="64"/>
      <c r="Y7" s="64"/>
      <c r="Z7" s="64"/>
      <c r="AA7" s="64"/>
      <c r="AB7" s="64"/>
      <c r="AC7" s="64"/>
      <c r="AD7" s="63"/>
      <c r="AE7" s="63"/>
      <c r="AF7" s="63"/>
      <c r="AG7" s="63"/>
      <c r="AH7" s="63"/>
      <c r="AI7" s="63"/>
      <c r="AJ7" s="63"/>
      <c r="AK7" s="64"/>
      <c r="AL7" s="64"/>
      <c r="AM7" s="64"/>
      <c r="AN7" s="64"/>
      <c r="AO7" s="64"/>
      <c r="AP7" s="64"/>
      <c r="AQ7" s="64"/>
      <c r="AR7" s="63"/>
      <c r="AS7" s="63"/>
      <c r="AT7" s="63"/>
      <c r="AU7" s="63"/>
      <c r="AV7" s="63"/>
      <c r="AW7" s="63"/>
      <c r="AX7" s="63"/>
      <c r="AY7" s="64"/>
      <c r="AZ7" s="64"/>
      <c r="BA7" s="64"/>
      <c r="BB7" s="64"/>
      <c r="BC7" s="64"/>
      <c r="BD7" s="64"/>
      <c r="BE7" s="64"/>
      <c r="BF7" s="63"/>
      <c r="BG7" s="63"/>
      <c r="BH7" s="63"/>
      <c r="BI7" s="63"/>
      <c r="BJ7" s="63"/>
      <c r="BK7" s="63"/>
      <c r="BL7" s="63"/>
      <c r="BM7" s="64"/>
      <c r="BN7" s="64"/>
      <c r="BO7" s="64"/>
      <c r="BP7" s="64"/>
      <c r="BQ7" s="64"/>
      <c r="BR7" s="64"/>
      <c r="BS7" s="64"/>
      <c r="BT7" s="63"/>
      <c r="BU7" s="63"/>
      <c r="BV7" s="63"/>
      <c r="BW7" s="63"/>
      <c r="BX7" s="63"/>
      <c r="BY7" s="63"/>
      <c r="BZ7" s="63"/>
      <c r="CA7" s="64"/>
      <c r="CB7" s="64"/>
      <c r="CC7" s="64"/>
      <c r="CD7" s="64"/>
      <c r="CE7" s="64"/>
      <c r="CF7" s="64"/>
      <c r="CG7" s="64"/>
      <c r="CH7" s="63"/>
      <c r="CI7" s="63"/>
      <c r="CJ7" s="63"/>
      <c r="CK7" s="63"/>
      <c r="CL7" s="63"/>
      <c r="CM7" s="63"/>
      <c r="CN7" s="63"/>
      <c r="CO7" s="64"/>
      <c r="CP7" s="64"/>
      <c r="CQ7" s="64"/>
      <c r="CR7" s="64"/>
      <c r="CS7" s="64"/>
      <c r="CT7" s="64"/>
      <c r="CU7" s="64"/>
      <c r="CV7" s="63"/>
      <c r="CW7" s="63"/>
      <c r="CX7" s="63"/>
      <c r="CY7" s="63"/>
      <c r="CZ7" s="63"/>
      <c r="DA7" s="63"/>
      <c r="DB7" s="63"/>
      <c r="DC7" s="64"/>
      <c r="DD7" s="64"/>
      <c r="DE7" s="64"/>
      <c r="DF7" s="64"/>
      <c r="DG7" s="64"/>
      <c r="DH7" s="64"/>
      <c r="DI7" s="64"/>
      <c r="DJ7" s="63"/>
      <c r="DK7" s="63"/>
      <c r="DL7" s="63"/>
      <c r="DM7" s="63"/>
      <c r="DN7" s="63"/>
      <c r="DO7" s="63"/>
      <c r="DP7" s="63"/>
      <c r="DQ7" s="64"/>
      <c r="DR7" s="64"/>
      <c r="DS7" s="64"/>
      <c r="DT7" s="64"/>
      <c r="DU7" s="64"/>
      <c r="DV7" s="64"/>
      <c r="DW7" s="64"/>
      <c r="DX7" s="63"/>
      <c r="DY7" s="63"/>
      <c r="DZ7" s="63"/>
      <c r="EA7" s="63"/>
      <c r="EB7" s="63"/>
      <c r="EC7" s="63"/>
      <c r="ED7" s="63"/>
      <c r="EE7" s="64"/>
      <c r="EF7" s="64"/>
      <c r="EG7" s="64"/>
      <c r="EH7" s="64"/>
      <c r="EI7" s="64"/>
      <c r="EJ7" s="64"/>
      <c r="EK7" s="64"/>
      <c r="EL7" s="63"/>
      <c r="EM7" s="63"/>
      <c r="EN7" s="63"/>
      <c r="EO7" s="63"/>
      <c r="EP7" s="63"/>
      <c r="EQ7" s="63"/>
      <c r="ER7" s="63"/>
      <c r="ES7" s="64"/>
      <c r="ET7" s="64"/>
      <c r="EU7" s="64"/>
      <c r="EV7" s="64"/>
      <c r="EW7" s="64"/>
      <c r="EX7" s="64"/>
      <c r="EY7" s="64"/>
      <c r="EZ7" s="63"/>
      <c r="FA7" s="63"/>
      <c r="FB7" s="63"/>
      <c r="FC7" s="63"/>
      <c r="FD7" s="63"/>
      <c r="FE7" s="63"/>
      <c r="FF7" s="63"/>
      <c r="FG7" s="64"/>
      <c r="FH7" s="64"/>
      <c r="FI7" s="64"/>
      <c r="FJ7" s="64"/>
      <c r="FK7" s="64"/>
      <c r="FL7" s="64"/>
      <c r="FM7" s="64"/>
      <c r="FN7" s="63"/>
      <c r="FO7" s="63"/>
      <c r="FP7" s="63"/>
      <c r="FQ7" s="63"/>
      <c r="FR7" s="63"/>
      <c r="FS7" s="63"/>
      <c r="FT7" s="63"/>
      <c r="FU7" s="64"/>
      <c r="FV7" s="64"/>
      <c r="FW7" s="64"/>
      <c r="FX7" s="64"/>
      <c r="FY7" s="64"/>
      <c r="FZ7" s="64"/>
      <c r="GA7" s="64"/>
      <c r="GB7" s="63"/>
      <c r="GC7" s="63"/>
      <c r="GD7" s="63"/>
      <c r="GE7" s="63"/>
      <c r="GF7" s="63"/>
      <c r="GG7" s="63"/>
      <c r="GH7" s="63"/>
      <c r="GI7" s="64"/>
      <c r="GJ7" s="64"/>
      <c r="GK7" s="64"/>
      <c r="GL7" s="64"/>
      <c r="GM7" s="64"/>
      <c r="GN7" s="64"/>
      <c r="GO7" s="64"/>
      <c r="GP7" s="63"/>
      <c r="GQ7" s="63"/>
      <c r="GR7" s="63"/>
      <c r="GS7" s="63"/>
      <c r="GT7" s="63"/>
      <c r="GU7" s="63"/>
      <c r="GV7" s="63"/>
      <c r="GW7" s="64"/>
      <c r="GX7" s="64"/>
      <c r="GY7" s="64"/>
      <c r="GZ7" s="64"/>
      <c r="HA7" s="64"/>
      <c r="HB7" s="64"/>
      <c r="HC7" s="64"/>
      <c r="HD7" s="63"/>
      <c r="HE7" s="63"/>
      <c r="HF7" s="63"/>
      <c r="HG7" s="63"/>
      <c r="HH7" s="63"/>
      <c r="HI7" s="63"/>
      <c r="HJ7" s="63"/>
      <c r="HK7" s="65" t="n">
        <f aca="false">COUNTIF(B7:HJ7,"A")</f>
        <v>0</v>
      </c>
      <c r="HL7" s="66" t="n">
        <f aca="false">COUNTIF(B7:HJ7,"O")</f>
        <v>0</v>
      </c>
      <c r="HM7" s="67" t="n">
        <f aca="false">COUNTIF(B7:HJ7,"D")</f>
        <v>0</v>
      </c>
      <c r="HN7" s="68" t="n">
        <f aca="false">COUNTIF(B7:HJ7,"N/A")</f>
        <v>0</v>
      </c>
      <c r="HO7" s="69" t="n">
        <f aca="false">IFERROR((HK7+HL7)/(HK7+HL7+HM7),0)</f>
        <v>0</v>
      </c>
    </row>
    <row r="8" customFormat="false" ht="15.75" hidden="false" customHeight="true" outlineLevel="0" collapsed="false">
      <c r="A8" s="62" t="str">
        <f aca="false">Roster!B8</f>
        <v>Resident 4</v>
      </c>
      <c r="B8" s="63"/>
      <c r="C8" s="63"/>
      <c r="D8" s="63"/>
      <c r="E8" s="63"/>
      <c r="F8" s="63"/>
      <c r="G8" s="63"/>
      <c r="H8" s="63"/>
      <c r="I8" s="64"/>
      <c r="J8" s="64"/>
      <c r="K8" s="64"/>
      <c r="L8" s="64"/>
      <c r="M8" s="64"/>
      <c r="N8" s="64"/>
      <c r="O8" s="64"/>
      <c r="P8" s="63"/>
      <c r="Q8" s="63"/>
      <c r="R8" s="63"/>
      <c r="S8" s="63"/>
      <c r="T8" s="63"/>
      <c r="U8" s="63"/>
      <c r="V8" s="63"/>
      <c r="W8" s="64"/>
      <c r="X8" s="64"/>
      <c r="Y8" s="64"/>
      <c r="Z8" s="64"/>
      <c r="AA8" s="64"/>
      <c r="AB8" s="64"/>
      <c r="AC8" s="64"/>
      <c r="AD8" s="63"/>
      <c r="AE8" s="63"/>
      <c r="AF8" s="63"/>
      <c r="AG8" s="63"/>
      <c r="AH8" s="63"/>
      <c r="AI8" s="63"/>
      <c r="AJ8" s="63"/>
      <c r="AK8" s="64"/>
      <c r="AL8" s="64"/>
      <c r="AM8" s="64"/>
      <c r="AN8" s="64"/>
      <c r="AO8" s="64"/>
      <c r="AP8" s="64"/>
      <c r="AQ8" s="64"/>
      <c r="AR8" s="63"/>
      <c r="AS8" s="63"/>
      <c r="AT8" s="63"/>
      <c r="AU8" s="63"/>
      <c r="AV8" s="63"/>
      <c r="AW8" s="63"/>
      <c r="AX8" s="63"/>
      <c r="AY8" s="64"/>
      <c r="AZ8" s="64"/>
      <c r="BA8" s="64"/>
      <c r="BB8" s="64"/>
      <c r="BC8" s="64"/>
      <c r="BD8" s="64"/>
      <c r="BE8" s="64"/>
      <c r="BF8" s="63"/>
      <c r="BG8" s="63"/>
      <c r="BH8" s="63"/>
      <c r="BI8" s="63"/>
      <c r="BJ8" s="63"/>
      <c r="BK8" s="63"/>
      <c r="BL8" s="63"/>
      <c r="BM8" s="64"/>
      <c r="BN8" s="64"/>
      <c r="BO8" s="64"/>
      <c r="BP8" s="64"/>
      <c r="BQ8" s="64"/>
      <c r="BR8" s="64"/>
      <c r="BS8" s="64"/>
      <c r="BT8" s="63"/>
      <c r="BU8" s="63"/>
      <c r="BV8" s="63"/>
      <c r="BW8" s="63"/>
      <c r="BX8" s="63"/>
      <c r="BY8" s="63"/>
      <c r="BZ8" s="63"/>
      <c r="CA8" s="64"/>
      <c r="CB8" s="64"/>
      <c r="CC8" s="64"/>
      <c r="CD8" s="64"/>
      <c r="CE8" s="64"/>
      <c r="CF8" s="64"/>
      <c r="CG8" s="64"/>
      <c r="CH8" s="63"/>
      <c r="CI8" s="63"/>
      <c r="CJ8" s="63"/>
      <c r="CK8" s="63"/>
      <c r="CL8" s="63"/>
      <c r="CM8" s="63"/>
      <c r="CN8" s="63"/>
      <c r="CO8" s="64"/>
      <c r="CP8" s="64"/>
      <c r="CQ8" s="64"/>
      <c r="CR8" s="64"/>
      <c r="CS8" s="64"/>
      <c r="CT8" s="64"/>
      <c r="CU8" s="64"/>
      <c r="CV8" s="63"/>
      <c r="CW8" s="63"/>
      <c r="CX8" s="63"/>
      <c r="CY8" s="63"/>
      <c r="CZ8" s="63"/>
      <c r="DA8" s="63"/>
      <c r="DB8" s="63"/>
      <c r="DC8" s="64"/>
      <c r="DD8" s="64"/>
      <c r="DE8" s="64"/>
      <c r="DF8" s="64"/>
      <c r="DG8" s="64"/>
      <c r="DH8" s="64"/>
      <c r="DI8" s="64"/>
      <c r="DJ8" s="63"/>
      <c r="DK8" s="63"/>
      <c r="DL8" s="63"/>
      <c r="DM8" s="63"/>
      <c r="DN8" s="63"/>
      <c r="DO8" s="63"/>
      <c r="DP8" s="63"/>
      <c r="DQ8" s="64"/>
      <c r="DR8" s="64"/>
      <c r="DS8" s="64"/>
      <c r="DT8" s="64"/>
      <c r="DU8" s="64"/>
      <c r="DV8" s="64"/>
      <c r="DW8" s="64"/>
      <c r="DX8" s="63"/>
      <c r="DY8" s="63"/>
      <c r="DZ8" s="63"/>
      <c r="EA8" s="63"/>
      <c r="EB8" s="63"/>
      <c r="EC8" s="63"/>
      <c r="ED8" s="63"/>
      <c r="EE8" s="64"/>
      <c r="EF8" s="64"/>
      <c r="EG8" s="64"/>
      <c r="EH8" s="64"/>
      <c r="EI8" s="64"/>
      <c r="EJ8" s="64"/>
      <c r="EK8" s="64"/>
      <c r="EL8" s="63"/>
      <c r="EM8" s="63"/>
      <c r="EN8" s="63"/>
      <c r="EO8" s="63"/>
      <c r="EP8" s="63"/>
      <c r="EQ8" s="63"/>
      <c r="ER8" s="63"/>
      <c r="ES8" s="64"/>
      <c r="ET8" s="64"/>
      <c r="EU8" s="64"/>
      <c r="EV8" s="64"/>
      <c r="EW8" s="64"/>
      <c r="EX8" s="64"/>
      <c r="EY8" s="64"/>
      <c r="EZ8" s="63"/>
      <c r="FA8" s="63"/>
      <c r="FB8" s="63"/>
      <c r="FC8" s="63"/>
      <c r="FD8" s="63"/>
      <c r="FE8" s="63"/>
      <c r="FF8" s="63"/>
      <c r="FG8" s="64"/>
      <c r="FH8" s="64"/>
      <c r="FI8" s="64"/>
      <c r="FJ8" s="64"/>
      <c r="FK8" s="64"/>
      <c r="FL8" s="64"/>
      <c r="FM8" s="64"/>
      <c r="FN8" s="63"/>
      <c r="FO8" s="63"/>
      <c r="FP8" s="63"/>
      <c r="FQ8" s="63"/>
      <c r="FR8" s="63"/>
      <c r="FS8" s="63"/>
      <c r="FT8" s="63"/>
      <c r="FU8" s="64"/>
      <c r="FV8" s="64"/>
      <c r="FW8" s="64"/>
      <c r="FX8" s="64"/>
      <c r="FY8" s="64"/>
      <c r="FZ8" s="64"/>
      <c r="GA8" s="64"/>
      <c r="GB8" s="63"/>
      <c r="GC8" s="63"/>
      <c r="GD8" s="63"/>
      <c r="GE8" s="63"/>
      <c r="GF8" s="63"/>
      <c r="GG8" s="63"/>
      <c r="GH8" s="63"/>
      <c r="GI8" s="64"/>
      <c r="GJ8" s="64"/>
      <c r="GK8" s="64"/>
      <c r="GL8" s="64"/>
      <c r="GM8" s="64"/>
      <c r="GN8" s="64"/>
      <c r="GO8" s="64"/>
      <c r="GP8" s="63"/>
      <c r="GQ8" s="63"/>
      <c r="GR8" s="63"/>
      <c r="GS8" s="63"/>
      <c r="GT8" s="63"/>
      <c r="GU8" s="63"/>
      <c r="GV8" s="63"/>
      <c r="GW8" s="64"/>
      <c r="GX8" s="64"/>
      <c r="GY8" s="64"/>
      <c r="GZ8" s="64"/>
      <c r="HA8" s="64"/>
      <c r="HB8" s="64"/>
      <c r="HC8" s="64"/>
      <c r="HD8" s="63"/>
      <c r="HE8" s="63"/>
      <c r="HF8" s="63"/>
      <c r="HG8" s="63"/>
      <c r="HH8" s="63"/>
      <c r="HI8" s="63"/>
      <c r="HJ8" s="63"/>
      <c r="HK8" s="65" t="n">
        <f aca="false">COUNTIF(B8:HJ8,"A")</f>
        <v>0</v>
      </c>
      <c r="HL8" s="66" t="n">
        <f aca="false">COUNTIF(B8:HJ8,"O")</f>
        <v>0</v>
      </c>
      <c r="HM8" s="67" t="n">
        <f aca="false">COUNTIF(B8:HJ8,"D")</f>
        <v>0</v>
      </c>
      <c r="HN8" s="68" t="n">
        <f aca="false">COUNTIF(B8:HJ8,"N/A")</f>
        <v>0</v>
      </c>
      <c r="HO8" s="69" t="n">
        <f aca="false">IFERROR((HK8+HL8)/(HK8+HL8+HM8),0)</f>
        <v>0</v>
      </c>
    </row>
    <row r="9" customFormat="false" ht="15.75" hidden="false" customHeight="true" outlineLevel="0" collapsed="false">
      <c r="A9" s="62" t="str">
        <f aca="false">Roster!B9</f>
        <v>Resident 5</v>
      </c>
      <c r="B9" s="63"/>
      <c r="C9" s="63"/>
      <c r="D9" s="63"/>
      <c r="E9" s="63"/>
      <c r="F9" s="63"/>
      <c r="G9" s="63"/>
      <c r="H9" s="63"/>
      <c r="I9" s="64"/>
      <c r="J9" s="64"/>
      <c r="K9" s="64"/>
      <c r="L9" s="64"/>
      <c r="M9" s="64"/>
      <c r="N9" s="64"/>
      <c r="O9" s="64"/>
      <c r="P9" s="63"/>
      <c r="Q9" s="63"/>
      <c r="R9" s="63"/>
      <c r="S9" s="63"/>
      <c r="T9" s="63"/>
      <c r="U9" s="63"/>
      <c r="V9" s="63"/>
      <c r="W9" s="64"/>
      <c r="X9" s="64"/>
      <c r="Y9" s="64"/>
      <c r="Z9" s="64"/>
      <c r="AA9" s="64"/>
      <c r="AB9" s="64"/>
      <c r="AC9" s="64"/>
      <c r="AD9" s="63"/>
      <c r="AE9" s="63"/>
      <c r="AF9" s="63"/>
      <c r="AG9" s="63"/>
      <c r="AH9" s="63"/>
      <c r="AI9" s="63"/>
      <c r="AJ9" s="63"/>
      <c r="AK9" s="64"/>
      <c r="AL9" s="64"/>
      <c r="AM9" s="64"/>
      <c r="AN9" s="64"/>
      <c r="AO9" s="64"/>
      <c r="AP9" s="64"/>
      <c r="AQ9" s="64"/>
      <c r="AR9" s="63"/>
      <c r="AS9" s="63"/>
      <c r="AT9" s="63"/>
      <c r="AU9" s="63"/>
      <c r="AV9" s="63"/>
      <c r="AW9" s="63"/>
      <c r="AX9" s="63"/>
      <c r="AY9" s="64"/>
      <c r="AZ9" s="64"/>
      <c r="BA9" s="64"/>
      <c r="BB9" s="64"/>
      <c r="BC9" s="64"/>
      <c r="BD9" s="64"/>
      <c r="BE9" s="64"/>
      <c r="BF9" s="63"/>
      <c r="BG9" s="63"/>
      <c r="BH9" s="63"/>
      <c r="BI9" s="63"/>
      <c r="BJ9" s="63"/>
      <c r="BK9" s="63"/>
      <c r="BL9" s="63"/>
      <c r="BM9" s="64"/>
      <c r="BN9" s="64"/>
      <c r="BO9" s="64"/>
      <c r="BP9" s="64"/>
      <c r="BQ9" s="64"/>
      <c r="BR9" s="64"/>
      <c r="BS9" s="64"/>
      <c r="BT9" s="63"/>
      <c r="BU9" s="63"/>
      <c r="BV9" s="63"/>
      <c r="BW9" s="63"/>
      <c r="BX9" s="63"/>
      <c r="BY9" s="63"/>
      <c r="BZ9" s="63"/>
      <c r="CA9" s="64"/>
      <c r="CB9" s="64"/>
      <c r="CC9" s="64"/>
      <c r="CD9" s="64"/>
      <c r="CE9" s="64"/>
      <c r="CF9" s="64"/>
      <c r="CG9" s="64"/>
      <c r="CH9" s="63"/>
      <c r="CI9" s="63"/>
      <c r="CJ9" s="63"/>
      <c r="CK9" s="63"/>
      <c r="CL9" s="63"/>
      <c r="CM9" s="63"/>
      <c r="CN9" s="63"/>
      <c r="CO9" s="64"/>
      <c r="CP9" s="64"/>
      <c r="CQ9" s="64"/>
      <c r="CR9" s="64"/>
      <c r="CS9" s="64"/>
      <c r="CT9" s="64"/>
      <c r="CU9" s="64"/>
      <c r="CV9" s="63"/>
      <c r="CW9" s="63"/>
      <c r="CX9" s="63"/>
      <c r="CY9" s="63"/>
      <c r="CZ9" s="63"/>
      <c r="DA9" s="63"/>
      <c r="DB9" s="63"/>
      <c r="DC9" s="64"/>
      <c r="DD9" s="64"/>
      <c r="DE9" s="64"/>
      <c r="DF9" s="64"/>
      <c r="DG9" s="64"/>
      <c r="DH9" s="64"/>
      <c r="DI9" s="64"/>
      <c r="DJ9" s="63"/>
      <c r="DK9" s="63"/>
      <c r="DL9" s="63"/>
      <c r="DM9" s="63"/>
      <c r="DN9" s="63"/>
      <c r="DO9" s="63"/>
      <c r="DP9" s="63"/>
      <c r="DQ9" s="64"/>
      <c r="DR9" s="64"/>
      <c r="DS9" s="64"/>
      <c r="DT9" s="64"/>
      <c r="DU9" s="64"/>
      <c r="DV9" s="64"/>
      <c r="DW9" s="64"/>
      <c r="DX9" s="63"/>
      <c r="DY9" s="63"/>
      <c r="DZ9" s="63"/>
      <c r="EA9" s="63"/>
      <c r="EB9" s="63"/>
      <c r="EC9" s="63"/>
      <c r="ED9" s="63"/>
      <c r="EE9" s="64"/>
      <c r="EF9" s="64"/>
      <c r="EG9" s="64"/>
      <c r="EH9" s="64"/>
      <c r="EI9" s="64"/>
      <c r="EJ9" s="64"/>
      <c r="EK9" s="64"/>
      <c r="EL9" s="63"/>
      <c r="EM9" s="63"/>
      <c r="EN9" s="63"/>
      <c r="EO9" s="63"/>
      <c r="EP9" s="63"/>
      <c r="EQ9" s="63"/>
      <c r="ER9" s="63"/>
      <c r="ES9" s="64"/>
      <c r="ET9" s="64"/>
      <c r="EU9" s="64"/>
      <c r="EV9" s="64"/>
      <c r="EW9" s="64"/>
      <c r="EX9" s="64"/>
      <c r="EY9" s="64"/>
      <c r="EZ9" s="63"/>
      <c r="FA9" s="63"/>
      <c r="FB9" s="63"/>
      <c r="FC9" s="63"/>
      <c r="FD9" s="63"/>
      <c r="FE9" s="63"/>
      <c r="FF9" s="63"/>
      <c r="FG9" s="64"/>
      <c r="FH9" s="64"/>
      <c r="FI9" s="64"/>
      <c r="FJ9" s="64"/>
      <c r="FK9" s="64"/>
      <c r="FL9" s="64"/>
      <c r="FM9" s="64"/>
      <c r="FN9" s="63"/>
      <c r="FO9" s="63"/>
      <c r="FP9" s="63"/>
      <c r="FQ9" s="63"/>
      <c r="FR9" s="63"/>
      <c r="FS9" s="63"/>
      <c r="FT9" s="63"/>
      <c r="FU9" s="64"/>
      <c r="FV9" s="64"/>
      <c r="FW9" s="64"/>
      <c r="FX9" s="64"/>
      <c r="FY9" s="64"/>
      <c r="FZ9" s="64"/>
      <c r="GA9" s="64"/>
      <c r="GB9" s="63"/>
      <c r="GC9" s="63"/>
      <c r="GD9" s="63"/>
      <c r="GE9" s="63"/>
      <c r="GF9" s="63"/>
      <c r="GG9" s="63"/>
      <c r="GH9" s="63"/>
      <c r="GI9" s="64"/>
      <c r="GJ9" s="64"/>
      <c r="GK9" s="64"/>
      <c r="GL9" s="64"/>
      <c r="GM9" s="64"/>
      <c r="GN9" s="64"/>
      <c r="GO9" s="64"/>
      <c r="GP9" s="63"/>
      <c r="GQ9" s="63"/>
      <c r="GR9" s="63"/>
      <c r="GS9" s="63"/>
      <c r="GT9" s="63"/>
      <c r="GU9" s="63"/>
      <c r="GV9" s="63"/>
      <c r="GW9" s="64"/>
      <c r="GX9" s="64"/>
      <c r="GY9" s="64"/>
      <c r="GZ9" s="64"/>
      <c r="HA9" s="64"/>
      <c r="HB9" s="64"/>
      <c r="HC9" s="64"/>
      <c r="HD9" s="63"/>
      <c r="HE9" s="63"/>
      <c r="HF9" s="63"/>
      <c r="HG9" s="63"/>
      <c r="HH9" s="63"/>
      <c r="HI9" s="63"/>
      <c r="HJ9" s="63"/>
      <c r="HK9" s="65" t="n">
        <f aca="false">COUNTIF(B9:HJ9,"A")</f>
        <v>0</v>
      </c>
      <c r="HL9" s="66" t="n">
        <f aca="false">COUNTIF(B9:HJ9,"O")</f>
        <v>0</v>
      </c>
      <c r="HM9" s="67" t="n">
        <f aca="false">COUNTIF(B9:HJ9,"D")</f>
        <v>0</v>
      </c>
      <c r="HN9" s="68" t="n">
        <f aca="false">COUNTIF(B9:HJ9,"N/A")</f>
        <v>0</v>
      </c>
      <c r="HO9" s="69" t="n">
        <f aca="false">IFERROR((HK9+HL9)/(HK9+HL9+HM9),0)</f>
        <v>0</v>
      </c>
    </row>
    <row r="10" customFormat="false" ht="15.75" hidden="false" customHeight="true" outlineLevel="0" collapsed="false">
      <c r="A10" s="62" t="str">
        <f aca="false">Roster!B10</f>
        <v>Resident 6</v>
      </c>
      <c r="B10" s="63"/>
      <c r="C10" s="63"/>
      <c r="D10" s="63"/>
      <c r="E10" s="63"/>
      <c r="F10" s="63"/>
      <c r="G10" s="63"/>
      <c r="H10" s="63"/>
      <c r="I10" s="64"/>
      <c r="J10" s="64"/>
      <c r="K10" s="64"/>
      <c r="L10" s="64"/>
      <c r="M10" s="64"/>
      <c r="N10" s="64"/>
      <c r="O10" s="64"/>
      <c r="P10" s="63"/>
      <c r="Q10" s="63"/>
      <c r="R10" s="63"/>
      <c r="S10" s="63"/>
      <c r="T10" s="63"/>
      <c r="U10" s="63"/>
      <c r="V10" s="63"/>
      <c r="W10" s="64"/>
      <c r="X10" s="64"/>
      <c r="Y10" s="64"/>
      <c r="Z10" s="64"/>
      <c r="AA10" s="64"/>
      <c r="AB10" s="64"/>
      <c r="AC10" s="64"/>
      <c r="AD10" s="63"/>
      <c r="AE10" s="63"/>
      <c r="AF10" s="63"/>
      <c r="AG10" s="63"/>
      <c r="AH10" s="63"/>
      <c r="AI10" s="63"/>
      <c r="AJ10" s="63"/>
      <c r="AK10" s="64"/>
      <c r="AL10" s="64"/>
      <c r="AM10" s="64"/>
      <c r="AN10" s="64"/>
      <c r="AO10" s="64"/>
      <c r="AP10" s="64"/>
      <c r="AQ10" s="64"/>
      <c r="AR10" s="63"/>
      <c r="AS10" s="63"/>
      <c r="AT10" s="63"/>
      <c r="AU10" s="63"/>
      <c r="AV10" s="63"/>
      <c r="AW10" s="63"/>
      <c r="AX10" s="63"/>
      <c r="AY10" s="64"/>
      <c r="AZ10" s="64"/>
      <c r="BA10" s="64"/>
      <c r="BB10" s="64"/>
      <c r="BC10" s="64"/>
      <c r="BD10" s="64"/>
      <c r="BE10" s="64"/>
      <c r="BF10" s="63"/>
      <c r="BG10" s="63"/>
      <c r="BH10" s="63"/>
      <c r="BI10" s="63"/>
      <c r="BJ10" s="63"/>
      <c r="BK10" s="63"/>
      <c r="BL10" s="63"/>
      <c r="BM10" s="64"/>
      <c r="BN10" s="64"/>
      <c r="BO10" s="64"/>
      <c r="BP10" s="64"/>
      <c r="BQ10" s="64"/>
      <c r="BR10" s="64"/>
      <c r="BS10" s="64"/>
      <c r="BT10" s="63"/>
      <c r="BU10" s="63"/>
      <c r="BV10" s="63"/>
      <c r="BW10" s="63"/>
      <c r="BX10" s="63"/>
      <c r="BY10" s="63"/>
      <c r="BZ10" s="63"/>
      <c r="CA10" s="64"/>
      <c r="CB10" s="64"/>
      <c r="CC10" s="64"/>
      <c r="CD10" s="64"/>
      <c r="CE10" s="64"/>
      <c r="CF10" s="64"/>
      <c r="CG10" s="64"/>
      <c r="CH10" s="63"/>
      <c r="CI10" s="63"/>
      <c r="CJ10" s="63"/>
      <c r="CK10" s="63"/>
      <c r="CL10" s="63"/>
      <c r="CM10" s="63"/>
      <c r="CN10" s="63"/>
      <c r="CO10" s="64"/>
      <c r="CP10" s="64"/>
      <c r="CQ10" s="64"/>
      <c r="CR10" s="64"/>
      <c r="CS10" s="64"/>
      <c r="CT10" s="64"/>
      <c r="CU10" s="64"/>
      <c r="CV10" s="63"/>
      <c r="CW10" s="63"/>
      <c r="CX10" s="63"/>
      <c r="CY10" s="63"/>
      <c r="CZ10" s="63"/>
      <c r="DA10" s="63"/>
      <c r="DB10" s="63"/>
      <c r="DC10" s="64"/>
      <c r="DD10" s="64"/>
      <c r="DE10" s="64"/>
      <c r="DF10" s="64"/>
      <c r="DG10" s="64"/>
      <c r="DH10" s="64"/>
      <c r="DI10" s="64"/>
      <c r="DJ10" s="63"/>
      <c r="DK10" s="63"/>
      <c r="DL10" s="63"/>
      <c r="DM10" s="63"/>
      <c r="DN10" s="63"/>
      <c r="DO10" s="63"/>
      <c r="DP10" s="63"/>
      <c r="DQ10" s="64"/>
      <c r="DR10" s="64"/>
      <c r="DS10" s="64"/>
      <c r="DT10" s="64"/>
      <c r="DU10" s="64"/>
      <c r="DV10" s="64"/>
      <c r="DW10" s="64"/>
      <c r="DX10" s="63"/>
      <c r="DY10" s="63"/>
      <c r="DZ10" s="63"/>
      <c r="EA10" s="63"/>
      <c r="EB10" s="63"/>
      <c r="EC10" s="63"/>
      <c r="ED10" s="63"/>
      <c r="EE10" s="64"/>
      <c r="EF10" s="64"/>
      <c r="EG10" s="64"/>
      <c r="EH10" s="64"/>
      <c r="EI10" s="64"/>
      <c r="EJ10" s="64"/>
      <c r="EK10" s="64"/>
      <c r="EL10" s="63"/>
      <c r="EM10" s="63"/>
      <c r="EN10" s="63"/>
      <c r="EO10" s="63"/>
      <c r="EP10" s="63"/>
      <c r="EQ10" s="63"/>
      <c r="ER10" s="63"/>
      <c r="ES10" s="64"/>
      <c r="ET10" s="64"/>
      <c r="EU10" s="64"/>
      <c r="EV10" s="64"/>
      <c r="EW10" s="64"/>
      <c r="EX10" s="64"/>
      <c r="EY10" s="64"/>
      <c r="EZ10" s="63"/>
      <c r="FA10" s="63"/>
      <c r="FB10" s="63"/>
      <c r="FC10" s="63"/>
      <c r="FD10" s="63"/>
      <c r="FE10" s="63"/>
      <c r="FF10" s="63"/>
      <c r="FG10" s="64"/>
      <c r="FH10" s="64"/>
      <c r="FI10" s="64"/>
      <c r="FJ10" s="64"/>
      <c r="FK10" s="64"/>
      <c r="FL10" s="64"/>
      <c r="FM10" s="64"/>
      <c r="FN10" s="63"/>
      <c r="FO10" s="63"/>
      <c r="FP10" s="63"/>
      <c r="FQ10" s="63"/>
      <c r="FR10" s="63"/>
      <c r="FS10" s="63"/>
      <c r="FT10" s="63"/>
      <c r="FU10" s="64"/>
      <c r="FV10" s="64"/>
      <c r="FW10" s="64"/>
      <c r="FX10" s="64"/>
      <c r="FY10" s="64"/>
      <c r="FZ10" s="64"/>
      <c r="GA10" s="64"/>
      <c r="GB10" s="63"/>
      <c r="GC10" s="63"/>
      <c r="GD10" s="63"/>
      <c r="GE10" s="63"/>
      <c r="GF10" s="63"/>
      <c r="GG10" s="63"/>
      <c r="GH10" s="63"/>
      <c r="GI10" s="64"/>
      <c r="GJ10" s="64"/>
      <c r="GK10" s="64"/>
      <c r="GL10" s="64"/>
      <c r="GM10" s="64"/>
      <c r="GN10" s="64"/>
      <c r="GO10" s="64"/>
      <c r="GP10" s="63"/>
      <c r="GQ10" s="63"/>
      <c r="GR10" s="63"/>
      <c r="GS10" s="63"/>
      <c r="GT10" s="63"/>
      <c r="GU10" s="63"/>
      <c r="GV10" s="63"/>
      <c r="GW10" s="64"/>
      <c r="GX10" s="64"/>
      <c r="GY10" s="64"/>
      <c r="GZ10" s="64"/>
      <c r="HA10" s="64"/>
      <c r="HB10" s="64"/>
      <c r="HC10" s="64"/>
      <c r="HD10" s="63"/>
      <c r="HE10" s="63"/>
      <c r="HF10" s="63"/>
      <c r="HG10" s="63"/>
      <c r="HH10" s="63"/>
      <c r="HI10" s="63"/>
      <c r="HJ10" s="63"/>
      <c r="HK10" s="65" t="n">
        <f aca="false">COUNTIF(B10:HJ10,"A")</f>
        <v>0</v>
      </c>
      <c r="HL10" s="66" t="n">
        <f aca="false">COUNTIF(B10:HJ10,"O")</f>
        <v>0</v>
      </c>
      <c r="HM10" s="67" t="n">
        <f aca="false">COUNTIF(B10:HJ10,"D")</f>
        <v>0</v>
      </c>
      <c r="HN10" s="68" t="n">
        <f aca="false">COUNTIF(B10:HJ10,"N/A")</f>
        <v>0</v>
      </c>
      <c r="HO10" s="69" t="n">
        <f aca="false">IFERROR((HK10+HL10)/(HK10+HL10+HM10),0)</f>
        <v>0</v>
      </c>
    </row>
    <row r="11" customFormat="false" ht="15.75" hidden="false" customHeight="true" outlineLevel="0" collapsed="false">
      <c r="A11" s="62" t="str">
        <f aca="false">Roster!B11</f>
        <v>Resident 7</v>
      </c>
      <c r="B11" s="63"/>
      <c r="C11" s="63"/>
      <c r="D11" s="63"/>
      <c r="E11" s="63"/>
      <c r="F11" s="63"/>
      <c r="G11" s="63"/>
      <c r="H11" s="63"/>
      <c r="I11" s="64"/>
      <c r="J11" s="64"/>
      <c r="K11" s="64"/>
      <c r="L11" s="64"/>
      <c r="M11" s="64"/>
      <c r="N11" s="64"/>
      <c r="O11" s="64"/>
      <c r="P11" s="63"/>
      <c r="Q11" s="63"/>
      <c r="R11" s="63"/>
      <c r="S11" s="63"/>
      <c r="T11" s="63"/>
      <c r="U11" s="63"/>
      <c r="V11" s="63"/>
      <c r="W11" s="64"/>
      <c r="X11" s="64"/>
      <c r="Y11" s="64"/>
      <c r="Z11" s="64"/>
      <c r="AA11" s="64"/>
      <c r="AB11" s="64"/>
      <c r="AC11" s="64"/>
      <c r="AD11" s="63"/>
      <c r="AE11" s="63"/>
      <c r="AF11" s="63"/>
      <c r="AG11" s="63"/>
      <c r="AH11" s="63"/>
      <c r="AI11" s="63"/>
      <c r="AJ11" s="63"/>
      <c r="AK11" s="64"/>
      <c r="AL11" s="64"/>
      <c r="AM11" s="64"/>
      <c r="AN11" s="64"/>
      <c r="AO11" s="64"/>
      <c r="AP11" s="64"/>
      <c r="AQ11" s="64"/>
      <c r="AR11" s="63"/>
      <c r="AS11" s="63"/>
      <c r="AT11" s="63"/>
      <c r="AU11" s="63"/>
      <c r="AV11" s="63"/>
      <c r="AW11" s="63"/>
      <c r="AX11" s="63"/>
      <c r="AY11" s="64"/>
      <c r="AZ11" s="64"/>
      <c r="BA11" s="64"/>
      <c r="BB11" s="64"/>
      <c r="BC11" s="64"/>
      <c r="BD11" s="64"/>
      <c r="BE11" s="64"/>
      <c r="BF11" s="63"/>
      <c r="BG11" s="63"/>
      <c r="BH11" s="63"/>
      <c r="BI11" s="63"/>
      <c r="BJ11" s="63"/>
      <c r="BK11" s="63"/>
      <c r="BL11" s="63"/>
      <c r="BM11" s="64"/>
      <c r="BN11" s="64"/>
      <c r="BO11" s="64"/>
      <c r="BP11" s="64"/>
      <c r="BQ11" s="64"/>
      <c r="BR11" s="64"/>
      <c r="BS11" s="64"/>
      <c r="BT11" s="63"/>
      <c r="BU11" s="63"/>
      <c r="BV11" s="63"/>
      <c r="BW11" s="63"/>
      <c r="BX11" s="63"/>
      <c r="BY11" s="63"/>
      <c r="BZ11" s="63"/>
      <c r="CA11" s="64"/>
      <c r="CB11" s="64"/>
      <c r="CC11" s="64"/>
      <c r="CD11" s="64"/>
      <c r="CE11" s="64"/>
      <c r="CF11" s="64"/>
      <c r="CG11" s="64"/>
      <c r="CH11" s="63"/>
      <c r="CI11" s="63"/>
      <c r="CJ11" s="63"/>
      <c r="CK11" s="63"/>
      <c r="CL11" s="63"/>
      <c r="CM11" s="63"/>
      <c r="CN11" s="63"/>
      <c r="CO11" s="64"/>
      <c r="CP11" s="64"/>
      <c r="CQ11" s="64"/>
      <c r="CR11" s="64"/>
      <c r="CS11" s="64"/>
      <c r="CT11" s="64"/>
      <c r="CU11" s="64"/>
      <c r="CV11" s="63"/>
      <c r="CW11" s="63"/>
      <c r="CX11" s="63"/>
      <c r="CY11" s="63"/>
      <c r="CZ11" s="63"/>
      <c r="DA11" s="63"/>
      <c r="DB11" s="63"/>
      <c r="DC11" s="64"/>
      <c r="DD11" s="64"/>
      <c r="DE11" s="64"/>
      <c r="DF11" s="64"/>
      <c r="DG11" s="64"/>
      <c r="DH11" s="64"/>
      <c r="DI11" s="64"/>
      <c r="DJ11" s="63"/>
      <c r="DK11" s="63"/>
      <c r="DL11" s="63"/>
      <c r="DM11" s="63"/>
      <c r="DN11" s="63"/>
      <c r="DO11" s="63"/>
      <c r="DP11" s="63"/>
      <c r="DQ11" s="64"/>
      <c r="DR11" s="64"/>
      <c r="DS11" s="64"/>
      <c r="DT11" s="64"/>
      <c r="DU11" s="64"/>
      <c r="DV11" s="64"/>
      <c r="DW11" s="64"/>
      <c r="DX11" s="63"/>
      <c r="DY11" s="63"/>
      <c r="DZ11" s="63"/>
      <c r="EA11" s="63"/>
      <c r="EB11" s="63"/>
      <c r="EC11" s="63"/>
      <c r="ED11" s="63"/>
      <c r="EE11" s="64"/>
      <c r="EF11" s="64"/>
      <c r="EG11" s="64"/>
      <c r="EH11" s="64"/>
      <c r="EI11" s="64"/>
      <c r="EJ11" s="64"/>
      <c r="EK11" s="64"/>
      <c r="EL11" s="63"/>
      <c r="EM11" s="63"/>
      <c r="EN11" s="63"/>
      <c r="EO11" s="63"/>
      <c r="EP11" s="63"/>
      <c r="EQ11" s="63"/>
      <c r="ER11" s="63"/>
      <c r="ES11" s="64"/>
      <c r="ET11" s="64"/>
      <c r="EU11" s="64"/>
      <c r="EV11" s="64"/>
      <c r="EW11" s="64"/>
      <c r="EX11" s="64"/>
      <c r="EY11" s="64"/>
      <c r="EZ11" s="63"/>
      <c r="FA11" s="63"/>
      <c r="FB11" s="63"/>
      <c r="FC11" s="63"/>
      <c r="FD11" s="63"/>
      <c r="FE11" s="63"/>
      <c r="FF11" s="63"/>
      <c r="FG11" s="64"/>
      <c r="FH11" s="64"/>
      <c r="FI11" s="64"/>
      <c r="FJ11" s="64"/>
      <c r="FK11" s="64"/>
      <c r="FL11" s="64"/>
      <c r="FM11" s="64"/>
      <c r="FN11" s="63"/>
      <c r="FO11" s="63"/>
      <c r="FP11" s="63"/>
      <c r="FQ11" s="63"/>
      <c r="FR11" s="63"/>
      <c r="FS11" s="63"/>
      <c r="FT11" s="63"/>
      <c r="FU11" s="64"/>
      <c r="FV11" s="64"/>
      <c r="FW11" s="64"/>
      <c r="FX11" s="64"/>
      <c r="FY11" s="64"/>
      <c r="FZ11" s="64"/>
      <c r="GA11" s="64"/>
      <c r="GB11" s="63"/>
      <c r="GC11" s="63"/>
      <c r="GD11" s="63"/>
      <c r="GE11" s="63"/>
      <c r="GF11" s="63"/>
      <c r="GG11" s="63"/>
      <c r="GH11" s="63"/>
      <c r="GI11" s="64"/>
      <c r="GJ11" s="64"/>
      <c r="GK11" s="64"/>
      <c r="GL11" s="64"/>
      <c r="GM11" s="64"/>
      <c r="GN11" s="64"/>
      <c r="GO11" s="64"/>
      <c r="GP11" s="63"/>
      <c r="GQ11" s="63"/>
      <c r="GR11" s="63"/>
      <c r="GS11" s="63"/>
      <c r="GT11" s="63"/>
      <c r="GU11" s="63"/>
      <c r="GV11" s="63"/>
      <c r="GW11" s="64"/>
      <c r="GX11" s="64"/>
      <c r="GY11" s="64"/>
      <c r="GZ11" s="64"/>
      <c r="HA11" s="64"/>
      <c r="HB11" s="64"/>
      <c r="HC11" s="64"/>
      <c r="HD11" s="63"/>
      <c r="HE11" s="63"/>
      <c r="HF11" s="63"/>
      <c r="HG11" s="63"/>
      <c r="HH11" s="63"/>
      <c r="HI11" s="63"/>
      <c r="HJ11" s="63"/>
      <c r="HK11" s="65" t="n">
        <f aca="false">COUNTIF(B11:HJ11,"A")</f>
        <v>0</v>
      </c>
      <c r="HL11" s="66" t="n">
        <f aca="false">COUNTIF(B11:HJ11,"O")</f>
        <v>0</v>
      </c>
      <c r="HM11" s="67" t="n">
        <f aca="false">COUNTIF(B11:HJ11,"D")</f>
        <v>0</v>
      </c>
      <c r="HN11" s="68" t="n">
        <f aca="false">COUNTIF(B11:HJ11,"N/A")</f>
        <v>0</v>
      </c>
      <c r="HO11" s="69" t="n">
        <f aca="false">IFERROR((HK11+HL11)/(HK11+HL11+HM11),0)</f>
        <v>0</v>
      </c>
    </row>
    <row r="12" customFormat="false" ht="15.75" hidden="false" customHeight="true" outlineLevel="0" collapsed="false">
      <c r="A12" s="62" t="str">
        <f aca="false">Roster!B12</f>
        <v>Resident 8</v>
      </c>
      <c r="B12" s="63"/>
      <c r="C12" s="63"/>
      <c r="D12" s="63"/>
      <c r="E12" s="63"/>
      <c r="F12" s="63"/>
      <c r="G12" s="63"/>
      <c r="H12" s="63"/>
      <c r="I12" s="64"/>
      <c r="J12" s="64"/>
      <c r="K12" s="64"/>
      <c r="L12" s="64"/>
      <c r="M12" s="64"/>
      <c r="N12" s="64"/>
      <c r="O12" s="64"/>
      <c r="P12" s="63"/>
      <c r="Q12" s="63"/>
      <c r="R12" s="63"/>
      <c r="S12" s="63"/>
      <c r="T12" s="63"/>
      <c r="U12" s="63"/>
      <c r="V12" s="63"/>
      <c r="W12" s="64"/>
      <c r="X12" s="64"/>
      <c r="Y12" s="64"/>
      <c r="Z12" s="64"/>
      <c r="AA12" s="64"/>
      <c r="AB12" s="64"/>
      <c r="AC12" s="64"/>
      <c r="AD12" s="63"/>
      <c r="AE12" s="63"/>
      <c r="AF12" s="63"/>
      <c r="AG12" s="63"/>
      <c r="AH12" s="63"/>
      <c r="AI12" s="63"/>
      <c r="AJ12" s="63"/>
      <c r="AK12" s="64"/>
      <c r="AL12" s="64"/>
      <c r="AM12" s="64"/>
      <c r="AN12" s="64"/>
      <c r="AO12" s="64"/>
      <c r="AP12" s="64"/>
      <c r="AQ12" s="64"/>
      <c r="AR12" s="63"/>
      <c r="AS12" s="63"/>
      <c r="AT12" s="63"/>
      <c r="AU12" s="63"/>
      <c r="AV12" s="63"/>
      <c r="AW12" s="63"/>
      <c r="AX12" s="63"/>
      <c r="AY12" s="64"/>
      <c r="AZ12" s="64"/>
      <c r="BA12" s="64"/>
      <c r="BB12" s="64"/>
      <c r="BC12" s="64"/>
      <c r="BD12" s="64"/>
      <c r="BE12" s="64"/>
      <c r="BF12" s="63"/>
      <c r="BG12" s="63"/>
      <c r="BH12" s="63"/>
      <c r="BI12" s="63"/>
      <c r="BJ12" s="63"/>
      <c r="BK12" s="63"/>
      <c r="BL12" s="63"/>
      <c r="BM12" s="64"/>
      <c r="BN12" s="64"/>
      <c r="BO12" s="64"/>
      <c r="BP12" s="64"/>
      <c r="BQ12" s="64"/>
      <c r="BR12" s="64"/>
      <c r="BS12" s="64"/>
      <c r="BT12" s="63"/>
      <c r="BU12" s="63"/>
      <c r="BV12" s="63"/>
      <c r="BW12" s="63"/>
      <c r="BX12" s="63"/>
      <c r="BY12" s="63"/>
      <c r="BZ12" s="63"/>
      <c r="CA12" s="64"/>
      <c r="CB12" s="64"/>
      <c r="CC12" s="64"/>
      <c r="CD12" s="64"/>
      <c r="CE12" s="64"/>
      <c r="CF12" s="64"/>
      <c r="CG12" s="64"/>
      <c r="CH12" s="63"/>
      <c r="CI12" s="63"/>
      <c r="CJ12" s="63"/>
      <c r="CK12" s="63"/>
      <c r="CL12" s="63"/>
      <c r="CM12" s="63"/>
      <c r="CN12" s="63"/>
      <c r="CO12" s="64"/>
      <c r="CP12" s="64"/>
      <c r="CQ12" s="64"/>
      <c r="CR12" s="64"/>
      <c r="CS12" s="64"/>
      <c r="CT12" s="64"/>
      <c r="CU12" s="64"/>
      <c r="CV12" s="63"/>
      <c r="CW12" s="63"/>
      <c r="CX12" s="63"/>
      <c r="CY12" s="63"/>
      <c r="CZ12" s="63"/>
      <c r="DA12" s="63"/>
      <c r="DB12" s="63"/>
      <c r="DC12" s="64"/>
      <c r="DD12" s="64"/>
      <c r="DE12" s="64"/>
      <c r="DF12" s="64"/>
      <c r="DG12" s="64"/>
      <c r="DH12" s="64"/>
      <c r="DI12" s="64"/>
      <c r="DJ12" s="63"/>
      <c r="DK12" s="63"/>
      <c r="DL12" s="63"/>
      <c r="DM12" s="63"/>
      <c r="DN12" s="63"/>
      <c r="DO12" s="63"/>
      <c r="DP12" s="63"/>
      <c r="DQ12" s="64"/>
      <c r="DR12" s="64"/>
      <c r="DS12" s="64"/>
      <c r="DT12" s="64"/>
      <c r="DU12" s="64"/>
      <c r="DV12" s="64"/>
      <c r="DW12" s="64"/>
      <c r="DX12" s="63"/>
      <c r="DY12" s="63"/>
      <c r="DZ12" s="63"/>
      <c r="EA12" s="63"/>
      <c r="EB12" s="63"/>
      <c r="EC12" s="63"/>
      <c r="ED12" s="63"/>
      <c r="EE12" s="64"/>
      <c r="EF12" s="64"/>
      <c r="EG12" s="64"/>
      <c r="EH12" s="64"/>
      <c r="EI12" s="64"/>
      <c r="EJ12" s="64"/>
      <c r="EK12" s="64"/>
      <c r="EL12" s="63"/>
      <c r="EM12" s="63"/>
      <c r="EN12" s="63"/>
      <c r="EO12" s="63"/>
      <c r="EP12" s="63"/>
      <c r="EQ12" s="63"/>
      <c r="ER12" s="63"/>
      <c r="ES12" s="64"/>
      <c r="ET12" s="64"/>
      <c r="EU12" s="64"/>
      <c r="EV12" s="64"/>
      <c r="EW12" s="64"/>
      <c r="EX12" s="64"/>
      <c r="EY12" s="64"/>
      <c r="EZ12" s="63"/>
      <c r="FA12" s="63"/>
      <c r="FB12" s="63"/>
      <c r="FC12" s="63"/>
      <c r="FD12" s="63"/>
      <c r="FE12" s="63"/>
      <c r="FF12" s="63"/>
      <c r="FG12" s="64"/>
      <c r="FH12" s="64"/>
      <c r="FI12" s="64"/>
      <c r="FJ12" s="64"/>
      <c r="FK12" s="64"/>
      <c r="FL12" s="64"/>
      <c r="FM12" s="64"/>
      <c r="FN12" s="63"/>
      <c r="FO12" s="63"/>
      <c r="FP12" s="63"/>
      <c r="FQ12" s="63"/>
      <c r="FR12" s="63"/>
      <c r="FS12" s="63"/>
      <c r="FT12" s="63"/>
      <c r="FU12" s="64"/>
      <c r="FV12" s="64"/>
      <c r="FW12" s="64"/>
      <c r="FX12" s="64"/>
      <c r="FY12" s="64"/>
      <c r="FZ12" s="64"/>
      <c r="GA12" s="64"/>
      <c r="GB12" s="63"/>
      <c r="GC12" s="63"/>
      <c r="GD12" s="63"/>
      <c r="GE12" s="63"/>
      <c r="GF12" s="63"/>
      <c r="GG12" s="63"/>
      <c r="GH12" s="63"/>
      <c r="GI12" s="64"/>
      <c r="GJ12" s="64"/>
      <c r="GK12" s="64"/>
      <c r="GL12" s="64"/>
      <c r="GM12" s="64"/>
      <c r="GN12" s="64"/>
      <c r="GO12" s="64"/>
      <c r="GP12" s="63"/>
      <c r="GQ12" s="63"/>
      <c r="GR12" s="63"/>
      <c r="GS12" s="63"/>
      <c r="GT12" s="63"/>
      <c r="GU12" s="63"/>
      <c r="GV12" s="63"/>
      <c r="GW12" s="64"/>
      <c r="GX12" s="64"/>
      <c r="GY12" s="64"/>
      <c r="GZ12" s="64"/>
      <c r="HA12" s="64"/>
      <c r="HB12" s="64"/>
      <c r="HC12" s="64"/>
      <c r="HD12" s="63"/>
      <c r="HE12" s="63"/>
      <c r="HF12" s="63"/>
      <c r="HG12" s="63"/>
      <c r="HH12" s="63"/>
      <c r="HI12" s="63"/>
      <c r="HJ12" s="63"/>
      <c r="HK12" s="65" t="n">
        <f aca="false">COUNTIF(B12:HJ12,"A")</f>
        <v>0</v>
      </c>
      <c r="HL12" s="66" t="n">
        <f aca="false">COUNTIF(B12:HJ12,"O")</f>
        <v>0</v>
      </c>
      <c r="HM12" s="67" t="n">
        <f aca="false">COUNTIF(B12:HJ12,"D")</f>
        <v>0</v>
      </c>
      <c r="HN12" s="68" t="n">
        <f aca="false">COUNTIF(B12:HJ12,"N/A")</f>
        <v>0</v>
      </c>
      <c r="HO12" s="69" t="n">
        <f aca="false">IFERROR((HK12+HL12)/(HK12+HL12+HM12),0)</f>
        <v>0</v>
      </c>
    </row>
    <row r="13" customFormat="false" ht="15.75" hidden="false" customHeight="true" outlineLevel="0" collapsed="false">
      <c r="A13" s="62" t="str">
        <f aca="false">Roster!B13</f>
        <v>Resident 9</v>
      </c>
      <c r="B13" s="63"/>
      <c r="C13" s="63"/>
      <c r="D13" s="63"/>
      <c r="E13" s="63"/>
      <c r="F13" s="63"/>
      <c r="G13" s="63"/>
      <c r="H13" s="63"/>
      <c r="I13" s="64"/>
      <c r="J13" s="64"/>
      <c r="K13" s="64"/>
      <c r="L13" s="64"/>
      <c r="M13" s="64"/>
      <c r="N13" s="64"/>
      <c r="O13" s="64"/>
      <c r="P13" s="63"/>
      <c r="Q13" s="63"/>
      <c r="R13" s="63"/>
      <c r="S13" s="63"/>
      <c r="T13" s="63"/>
      <c r="U13" s="63"/>
      <c r="V13" s="63"/>
      <c r="W13" s="64"/>
      <c r="X13" s="64"/>
      <c r="Y13" s="64"/>
      <c r="Z13" s="64"/>
      <c r="AA13" s="64"/>
      <c r="AB13" s="64"/>
      <c r="AC13" s="64"/>
      <c r="AD13" s="63"/>
      <c r="AE13" s="63"/>
      <c r="AF13" s="63"/>
      <c r="AG13" s="63"/>
      <c r="AH13" s="63"/>
      <c r="AI13" s="63"/>
      <c r="AJ13" s="63"/>
      <c r="AK13" s="64"/>
      <c r="AL13" s="64"/>
      <c r="AM13" s="64"/>
      <c r="AN13" s="64"/>
      <c r="AO13" s="64"/>
      <c r="AP13" s="64"/>
      <c r="AQ13" s="64"/>
      <c r="AR13" s="63"/>
      <c r="AS13" s="63"/>
      <c r="AT13" s="63"/>
      <c r="AU13" s="63"/>
      <c r="AV13" s="63"/>
      <c r="AW13" s="63"/>
      <c r="AX13" s="63"/>
      <c r="AY13" s="64"/>
      <c r="AZ13" s="64"/>
      <c r="BA13" s="64"/>
      <c r="BB13" s="64"/>
      <c r="BC13" s="64"/>
      <c r="BD13" s="64"/>
      <c r="BE13" s="64"/>
      <c r="BF13" s="63"/>
      <c r="BG13" s="63"/>
      <c r="BH13" s="63"/>
      <c r="BI13" s="63"/>
      <c r="BJ13" s="63"/>
      <c r="BK13" s="63"/>
      <c r="BL13" s="63"/>
      <c r="BM13" s="64"/>
      <c r="BN13" s="64"/>
      <c r="BO13" s="64"/>
      <c r="BP13" s="64"/>
      <c r="BQ13" s="64"/>
      <c r="BR13" s="64"/>
      <c r="BS13" s="64"/>
      <c r="BT13" s="63"/>
      <c r="BU13" s="63"/>
      <c r="BV13" s="63"/>
      <c r="BW13" s="63"/>
      <c r="BX13" s="63"/>
      <c r="BY13" s="63"/>
      <c r="BZ13" s="63"/>
      <c r="CA13" s="64"/>
      <c r="CB13" s="64"/>
      <c r="CC13" s="64"/>
      <c r="CD13" s="64"/>
      <c r="CE13" s="64"/>
      <c r="CF13" s="64"/>
      <c r="CG13" s="64"/>
      <c r="CH13" s="63"/>
      <c r="CI13" s="63"/>
      <c r="CJ13" s="63"/>
      <c r="CK13" s="63"/>
      <c r="CL13" s="63"/>
      <c r="CM13" s="63"/>
      <c r="CN13" s="63"/>
      <c r="CO13" s="64"/>
      <c r="CP13" s="64"/>
      <c r="CQ13" s="64"/>
      <c r="CR13" s="64"/>
      <c r="CS13" s="64"/>
      <c r="CT13" s="64"/>
      <c r="CU13" s="64"/>
      <c r="CV13" s="63"/>
      <c r="CW13" s="63"/>
      <c r="CX13" s="63"/>
      <c r="CY13" s="63"/>
      <c r="CZ13" s="63"/>
      <c r="DA13" s="63"/>
      <c r="DB13" s="63"/>
      <c r="DC13" s="64"/>
      <c r="DD13" s="64"/>
      <c r="DE13" s="64"/>
      <c r="DF13" s="64"/>
      <c r="DG13" s="64"/>
      <c r="DH13" s="64"/>
      <c r="DI13" s="64"/>
      <c r="DJ13" s="63"/>
      <c r="DK13" s="63"/>
      <c r="DL13" s="63"/>
      <c r="DM13" s="63"/>
      <c r="DN13" s="63"/>
      <c r="DO13" s="63"/>
      <c r="DP13" s="63"/>
      <c r="DQ13" s="64"/>
      <c r="DR13" s="64"/>
      <c r="DS13" s="64"/>
      <c r="DT13" s="64"/>
      <c r="DU13" s="64"/>
      <c r="DV13" s="64"/>
      <c r="DW13" s="64"/>
      <c r="DX13" s="63"/>
      <c r="DY13" s="63"/>
      <c r="DZ13" s="63"/>
      <c r="EA13" s="63"/>
      <c r="EB13" s="63"/>
      <c r="EC13" s="63"/>
      <c r="ED13" s="63"/>
      <c r="EE13" s="64"/>
      <c r="EF13" s="64"/>
      <c r="EG13" s="64"/>
      <c r="EH13" s="64"/>
      <c r="EI13" s="64"/>
      <c r="EJ13" s="64"/>
      <c r="EK13" s="64"/>
      <c r="EL13" s="63"/>
      <c r="EM13" s="63"/>
      <c r="EN13" s="63"/>
      <c r="EO13" s="63"/>
      <c r="EP13" s="63"/>
      <c r="EQ13" s="63"/>
      <c r="ER13" s="63"/>
      <c r="ES13" s="64"/>
      <c r="ET13" s="64"/>
      <c r="EU13" s="64"/>
      <c r="EV13" s="64"/>
      <c r="EW13" s="64"/>
      <c r="EX13" s="64"/>
      <c r="EY13" s="64"/>
      <c r="EZ13" s="63"/>
      <c r="FA13" s="63"/>
      <c r="FB13" s="63"/>
      <c r="FC13" s="63"/>
      <c r="FD13" s="63"/>
      <c r="FE13" s="63"/>
      <c r="FF13" s="63"/>
      <c r="FG13" s="64"/>
      <c r="FH13" s="64"/>
      <c r="FI13" s="64"/>
      <c r="FJ13" s="64"/>
      <c r="FK13" s="64"/>
      <c r="FL13" s="64"/>
      <c r="FM13" s="64"/>
      <c r="FN13" s="63"/>
      <c r="FO13" s="63"/>
      <c r="FP13" s="63"/>
      <c r="FQ13" s="63"/>
      <c r="FR13" s="63"/>
      <c r="FS13" s="63"/>
      <c r="FT13" s="63"/>
      <c r="FU13" s="64"/>
      <c r="FV13" s="64"/>
      <c r="FW13" s="64"/>
      <c r="FX13" s="64"/>
      <c r="FY13" s="64"/>
      <c r="FZ13" s="64"/>
      <c r="GA13" s="64"/>
      <c r="GB13" s="63"/>
      <c r="GC13" s="63"/>
      <c r="GD13" s="63"/>
      <c r="GE13" s="63"/>
      <c r="GF13" s="63"/>
      <c r="GG13" s="63"/>
      <c r="GH13" s="63"/>
      <c r="GI13" s="64"/>
      <c r="GJ13" s="64"/>
      <c r="GK13" s="64"/>
      <c r="GL13" s="64"/>
      <c r="GM13" s="64"/>
      <c r="GN13" s="64"/>
      <c r="GO13" s="64"/>
      <c r="GP13" s="63"/>
      <c r="GQ13" s="63"/>
      <c r="GR13" s="63"/>
      <c r="GS13" s="63"/>
      <c r="GT13" s="63"/>
      <c r="GU13" s="63"/>
      <c r="GV13" s="63"/>
      <c r="GW13" s="64"/>
      <c r="GX13" s="64"/>
      <c r="GY13" s="64"/>
      <c r="GZ13" s="64"/>
      <c r="HA13" s="64"/>
      <c r="HB13" s="64"/>
      <c r="HC13" s="64"/>
      <c r="HD13" s="63"/>
      <c r="HE13" s="63"/>
      <c r="HF13" s="63"/>
      <c r="HG13" s="63"/>
      <c r="HH13" s="63"/>
      <c r="HI13" s="63"/>
      <c r="HJ13" s="63"/>
      <c r="HK13" s="65" t="n">
        <f aca="false">COUNTIF(B13:HJ13,"A")</f>
        <v>0</v>
      </c>
      <c r="HL13" s="66" t="n">
        <f aca="false">COUNTIF(B13:HJ13,"O")</f>
        <v>0</v>
      </c>
      <c r="HM13" s="67" t="n">
        <f aca="false">COUNTIF(B13:HJ13,"D")</f>
        <v>0</v>
      </c>
      <c r="HN13" s="68" t="n">
        <f aca="false">COUNTIF(B13:HJ13,"N/A")</f>
        <v>0</v>
      </c>
      <c r="HO13" s="69" t="n">
        <f aca="false">IFERROR((HK13+HL13)/(HK13+HL13+HM13),0)</f>
        <v>0</v>
      </c>
    </row>
    <row r="14" customFormat="false" ht="15.75" hidden="false" customHeight="true" outlineLevel="0" collapsed="false">
      <c r="A14" s="62" t="str">
        <f aca="false">Roster!B14</f>
        <v>Resident 10</v>
      </c>
      <c r="B14" s="63"/>
      <c r="C14" s="63"/>
      <c r="D14" s="63"/>
      <c r="E14" s="63"/>
      <c r="F14" s="63"/>
      <c r="G14" s="63"/>
      <c r="H14" s="63"/>
      <c r="I14" s="64"/>
      <c r="J14" s="64"/>
      <c r="K14" s="64"/>
      <c r="L14" s="64"/>
      <c r="M14" s="64"/>
      <c r="N14" s="64"/>
      <c r="O14" s="64"/>
      <c r="P14" s="63"/>
      <c r="Q14" s="63"/>
      <c r="R14" s="63"/>
      <c r="S14" s="63"/>
      <c r="T14" s="63"/>
      <c r="U14" s="63"/>
      <c r="V14" s="63"/>
      <c r="W14" s="64"/>
      <c r="X14" s="64"/>
      <c r="Y14" s="64"/>
      <c r="Z14" s="64"/>
      <c r="AA14" s="64"/>
      <c r="AB14" s="64"/>
      <c r="AC14" s="64"/>
      <c r="AD14" s="63"/>
      <c r="AE14" s="63"/>
      <c r="AF14" s="63"/>
      <c r="AG14" s="63"/>
      <c r="AH14" s="63"/>
      <c r="AI14" s="63"/>
      <c r="AJ14" s="63"/>
      <c r="AK14" s="64"/>
      <c r="AL14" s="64"/>
      <c r="AM14" s="64"/>
      <c r="AN14" s="64"/>
      <c r="AO14" s="64"/>
      <c r="AP14" s="64"/>
      <c r="AQ14" s="64"/>
      <c r="AR14" s="63"/>
      <c r="AS14" s="63"/>
      <c r="AT14" s="63"/>
      <c r="AU14" s="63"/>
      <c r="AV14" s="63"/>
      <c r="AW14" s="63"/>
      <c r="AX14" s="63"/>
      <c r="AY14" s="64"/>
      <c r="AZ14" s="64"/>
      <c r="BA14" s="64"/>
      <c r="BB14" s="64"/>
      <c r="BC14" s="64"/>
      <c r="BD14" s="64"/>
      <c r="BE14" s="64"/>
      <c r="BF14" s="63"/>
      <c r="BG14" s="63"/>
      <c r="BH14" s="63"/>
      <c r="BI14" s="63"/>
      <c r="BJ14" s="63"/>
      <c r="BK14" s="63"/>
      <c r="BL14" s="63"/>
      <c r="BM14" s="64"/>
      <c r="BN14" s="64"/>
      <c r="BO14" s="64"/>
      <c r="BP14" s="64"/>
      <c r="BQ14" s="64"/>
      <c r="BR14" s="64"/>
      <c r="BS14" s="64"/>
      <c r="BT14" s="63"/>
      <c r="BU14" s="63"/>
      <c r="BV14" s="63"/>
      <c r="BW14" s="63"/>
      <c r="BX14" s="63"/>
      <c r="BY14" s="63"/>
      <c r="BZ14" s="63"/>
      <c r="CA14" s="64"/>
      <c r="CB14" s="64"/>
      <c r="CC14" s="64"/>
      <c r="CD14" s="64"/>
      <c r="CE14" s="64"/>
      <c r="CF14" s="64"/>
      <c r="CG14" s="64"/>
      <c r="CH14" s="63"/>
      <c r="CI14" s="63"/>
      <c r="CJ14" s="63"/>
      <c r="CK14" s="63"/>
      <c r="CL14" s="63"/>
      <c r="CM14" s="63"/>
      <c r="CN14" s="63"/>
      <c r="CO14" s="64"/>
      <c r="CP14" s="64"/>
      <c r="CQ14" s="64"/>
      <c r="CR14" s="64"/>
      <c r="CS14" s="64"/>
      <c r="CT14" s="64"/>
      <c r="CU14" s="64"/>
      <c r="CV14" s="63"/>
      <c r="CW14" s="63"/>
      <c r="CX14" s="63"/>
      <c r="CY14" s="63"/>
      <c r="CZ14" s="63"/>
      <c r="DA14" s="63"/>
      <c r="DB14" s="63"/>
      <c r="DC14" s="64"/>
      <c r="DD14" s="64"/>
      <c r="DE14" s="64"/>
      <c r="DF14" s="64"/>
      <c r="DG14" s="64"/>
      <c r="DH14" s="64"/>
      <c r="DI14" s="64"/>
      <c r="DJ14" s="63"/>
      <c r="DK14" s="63"/>
      <c r="DL14" s="63"/>
      <c r="DM14" s="63"/>
      <c r="DN14" s="63"/>
      <c r="DO14" s="63"/>
      <c r="DP14" s="63"/>
      <c r="DQ14" s="64"/>
      <c r="DR14" s="64"/>
      <c r="DS14" s="64"/>
      <c r="DT14" s="64"/>
      <c r="DU14" s="64"/>
      <c r="DV14" s="64"/>
      <c r="DW14" s="64"/>
      <c r="DX14" s="63"/>
      <c r="DY14" s="63"/>
      <c r="DZ14" s="63"/>
      <c r="EA14" s="63"/>
      <c r="EB14" s="63"/>
      <c r="EC14" s="63"/>
      <c r="ED14" s="63"/>
      <c r="EE14" s="64"/>
      <c r="EF14" s="64"/>
      <c r="EG14" s="64"/>
      <c r="EH14" s="64"/>
      <c r="EI14" s="64"/>
      <c r="EJ14" s="64"/>
      <c r="EK14" s="64"/>
      <c r="EL14" s="63"/>
      <c r="EM14" s="63"/>
      <c r="EN14" s="63"/>
      <c r="EO14" s="63"/>
      <c r="EP14" s="63"/>
      <c r="EQ14" s="63"/>
      <c r="ER14" s="63"/>
      <c r="ES14" s="64"/>
      <c r="ET14" s="64"/>
      <c r="EU14" s="64"/>
      <c r="EV14" s="64"/>
      <c r="EW14" s="64"/>
      <c r="EX14" s="64"/>
      <c r="EY14" s="64"/>
      <c r="EZ14" s="63"/>
      <c r="FA14" s="63"/>
      <c r="FB14" s="63"/>
      <c r="FC14" s="63"/>
      <c r="FD14" s="63"/>
      <c r="FE14" s="63"/>
      <c r="FF14" s="63"/>
      <c r="FG14" s="64"/>
      <c r="FH14" s="64"/>
      <c r="FI14" s="64"/>
      <c r="FJ14" s="64"/>
      <c r="FK14" s="64"/>
      <c r="FL14" s="64"/>
      <c r="FM14" s="64"/>
      <c r="FN14" s="63"/>
      <c r="FO14" s="63"/>
      <c r="FP14" s="63"/>
      <c r="FQ14" s="63"/>
      <c r="FR14" s="63"/>
      <c r="FS14" s="63"/>
      <c r="FT14" s="63"/>
      <c r="FU14" s="64"/>
      <c r="FV14" s="64"/>
      <c r="FW14" s="64"/>
      <c r="FX14" s="64"/>
      <c r="FY14" s="64"/>
      <c r="FZ14" s="64"/>
      <c r="GA14" s="64"/>
      <c r="GB14" s="63"/>
      <c r="GC14" s="63"/>
      <c r="GD14" s="63"/>
      <c r="GE14" s="63"/>
      <c r="GF14" s="63"/>
      <c r="GG14" s="63"/>
      <c r="GH14" s="63"/>
      <c r="GI14" s="64"/>
      <c r="GJ14" s="64"/>
      <c r="GK14" s="64"/>
      <c r="GL14" s="64"/>
      <c r="GM14" s="64"/>
      <c r="GN14" s="64"/>
      <c r="GO14" s="64"/>
      <c r="GP14" s="63"/>
      <c r="GQ14" s="63"/>
      <c r="GR14" s="63"/>
      <c r="GS14" s="63"/>
      <c r="GT14" s="63"/>
      <c r="GU14" s="63"/>
      <c r="GV14" s="63"/>
      <c r="GW14" s="64"/>
      <c r="GX14" s="64"/>
      <c r="GY14" s="64"/>
      <c r="GZ14" s="64"/>
      <c r="HA14" s="64"/>
      <c r="HB14" s="64"/>
      <c r="HC14" s="64"/>
      <c r="HD14" s="63"/>
      <c r="HE14" s="63"/>
      <c r="HF14" s="63"/>
      <c r="HG14" s="63"/>
      <c r="HH14" s="63"/>
      <c r="HI14" s="63"/>
      <c r="HJ14" s="63"/>
      <c r="HK14" s="65" t="n">
        <f aca="false">COUNTIF(B14:HJ14,"A")</f>
        <v>0</v>
      </c>
      <c r="HL14" s="66" t="n">
        <f aca="false">COUNTIF(B14:HJ14,"O")</f>
        <v>0</v>
      </c>
      <c r="HM14" s="67" t="n">
        <f aca="false">COUNTIF(B14:HJ14,"D")</f>
        <v>0</v>
      </c>
      <c r="HN14" s="68" t="n">
        <f aca="false">COUNTIF(B14:HJ14,"N/A")</f>
        <v>0</v>
      </c>
      <c r="HO14" s="69" t="n">
        <f aca="false">IFERROR((HK14+HL14)/(HK14+HL14+HM14),0)</f>
        <v>0</v>
      </c>
    </row>
    <row r="15" customFormat="false" ht="15.75" hidden="false" customHeight="true" outlineLevel="0" collapsed="false">
      <c r="A15" s="62" t="str">
        <f aca="false">Roster!B15</f>
        <v>Resident 11</v>
      </c>
      <c r="B15" s="63"/>
      <c r="C15" s="63"/>
      <c r="D15" s="63"/>
      <c r="E15" s="63"/>
      <c r="F15" s="63"/>
      <c r="G15" s="63"/>
      <c r="H15" s="63"/>
      <c r="I15" s="64"/>
      <c r="J15" s="64"/>
      <c r="K15" s="64"/>
      <c r="L15" s="64"/>
      <c r="M15" s="64"/>
      <c r="N15" s="64"/>
      <c r="O15" s="64"/>
      <c r="P15" s="63"/>
      <c r="Q15" s="63"/>
      <c r="R15" s="63"/>
      <c r="S15" s="63"/>
      <c r="T15" s="63"/>
      <c r="U15" s="63"/>
      <c r="V15" s="63"/>
      <c r="W15" s="64"/>
      <c r="X15" s="64"/>
      <c r="Y15" s="64"/>
      <c r="Z15" s="64"/>
      <c r="AA15" s="64"/>
      <c r="AB15" s="64"/>
      <c r="AC15" s="64"/>
      <c r="AD15" s="63"/>
      <c r="AE15" s="63"/>
      <c r="AF15" s="63"/>
      <c r="AG15" s="63"/>
      <c r="AH15" s="63"/>
      <c r="AI15" s="63"/>
      <c r="AJ15" s="63"/>
      <c r="AK15" s="64"/>
      <c r="AL15" s="64"/>
      <c r="AM15" s="64"/>
      <c r="AN15" s="64"/>
      <c r="AO15" s="64"/>
      <c r="AP15" s="64"/>
      <c r="AQ15" s="64"/>
      <c r="AR15" s="63"/>
      <c r="AS15" s="63"/>
      <c r="AT15" s="63"/>
      <c r="AU15" s="63"/>
      <c r="AV15" s="63"/>
      <c r="AW15" s="63"/>
      <c r="AX15" s="63"/>
      <c r="AY15" s="64"/>
      <c r="AZ15" s="64"/>
      <c r="BA15" s="64"/>
      <c r="BB15" s="64"/>
      <c r="BC15" s="64"/>
      <c r="BD15" s="64"/>
      <c r="BE15" s="64"/>
      <c r="BF15" s="63"/>
      <c r="BG15" s="63"/>
      <c r="BH15" s="63"/>
      <c r="BI15" s="63"/>
      <c r="BJ15" s="63"/>
      <c r="BK15" s="63"/>
      <c r="BL15" s="63"/>
      <c r="BM15" s="64"/>
      <c r="BN15" s="64"/>
      <c r="BO15" s="64"/>
      <c r="BP15" s="64"/>
      <c r="BQ15" s="64"/>
      <c r="BR15" s="64"/>
      <c r="BS15" s="64"/>
      <c r="BT15" s="63"/>
      <c r="BU15" s="63"/>
      <c r="BV15" s="63"/>
      <c r="BW15" s="63"/>
      <c r="BX15" s="63"/>
      <c r="BY15" s="63"/>
      <c r="BZ15" s="63"/>
      <c r="CA15" s="64"/>
      <c r="CB15" s="64"/>
      <c r="CC15" s="64"/>
      <c r="CD15" s="64"/>
      <c r="CE15" s="64"/>
      <c r="CF15" s="64"/>
      <c r="CG15" s="64"/>
      <c r="CH15" s="63"/>
      <c r="CI15" s="63"/>
      <c r="CJ15" s="63"/>
      <c r="CK15" s="63"/>
      <c r="CL15" s="63"/>
      <c r="CM15" s="63"/>
      <c r="CN15" s="63"/>
      <c r="CO15" s="64"/>
      <c r="CP15" s="64"/>
      <c r="CQ15" s="64"/>
      <c r="CR15" s="64"/>
      <c r="CS15" s="64"/>
      <c r="CT15" s="64"/>
      <c r="CU15" s="64"/>
      <c r="CV15" s="63"/>
      <c r="CW15" s="63"/>
      <c r="CX15" s="63"/>
      <c r="CY15" s="63"/>
      <c r="CZ15" s="63"/>
      <c r="DA15" s="63"/>
      <c r="DB15" s="63"/>
      <c r="DC15" s="64"/>
      <c r="DD15" s="64"/>
      <c r="DE15" s="64"/>
      <c r="DF15" s="64"/>
      <c r="DG15" s="64"/>
      <c r="DH15" s="64"/>
      <c r="DI15" s="64"/>
      <c r="DJ15" s="63"/>
      <c r="DK15" s="63"/>
      <c r="DL15" s="63"/>
      <c r="DM15" s="63"/>
      <c r="DN15" s="63"/>
      <c r="DO15" s="63"/>
      <c r="DP15" s="63"/>
      <c r="DQ15" s="64"/>
      <c r="DR15" s="64"/>
      <c r="DS15" s="64"/>
      <c r="DT15" s="64"/>
      <c r="DU15" s="64"/>
      <c r="DV15" s="64"/>
      <c r="DW15" s="64"/>
      <c r="DX15" s="63"/>
      <c r="DY15" s="63"/>
      <c r="DZ15" s="63"/>
      <c r="EA15" s="63"/>
      <c r="EB15" s="63"/>
      <c r="EC15" s="63"/>
      <c r="ED15" s="63"/>
      <c r="EE15" s="64"/>
      <c r="EF15" s="64"/>
      <c r="EG15" s="64"/>
      <c r="EH15" s="64"/>
      <c r="EI15" s="64"/>
      <c r="EJ15" s="64"/>
      <c r="EK15" s="64"/>
      <c r="EL15" s="63"/>
      <c r="EM15" s="63"/>
      <c r="EN15" s="63"/>
      <c r="EO15" s="63"/>
      <c r="EP15" s="63"/>
      <c r="EQ15" s="63"/>
      <c r="ER15" s="63"/>
      <c r="ES15" s="64"/>
      <c r="ET15" s="64"/>
      <c r="EU15" s="64"/>
      <c r="EV15" s="64"/>
      <c r="EW15" s="64"/>
      <c r="EX15" s="64"/>
      <c r="EY15" s="64"/>
      <c r="EZ15" s="63"/>
      <c r="FA15" s="63"/>
      <c r="FB15" s="63"/>
      <c r="FC15" s="63"/>
      <c r="FD15" s="63"/>
      <c r="FE15" s="63"/>
      <c r="FF15" s="63"/>
      <c r="FG15" s="64"/>
      <c r="FH15" s="64"/>
      <c r="FI15" s="64"/>
      <c r="FJ15" s="64"/>
      <c r="FK15" s="64"/>
      <c r="FL15" s="64"/>
      <c r="FM15" s="64"/>
      <c r="FN15" s="63"/>
      <c r="FO15" s="63"/>
      <c r="FP15" s="63"/>
      <c r="FQ15" s="63"/>
      <c r="FR15" s="63"/>
      <c r="FS15" s="63"/>
      <c r="FT15" s="63"/>
      <c r="FU15" s="64"/>
      <c r="FV15" s="64"/>
      <c r="FW15" s="64"/>
      <c r="FX15" s="64"/>
      <c r="FY15" s="64"/>
      <c r="FZ15" s="64"/>
      <c r="GA15" s="64"/>
      <c r="GB15" s="63"/>
      <c r="GC15" s="63"/>
      <c r="GD15" s="63"/>
      <c r="GE15" s="63"/>
      <c r="GF15" s="63"/>
      <c r="GG15" s="63"/>
      <c r="GH15" s="63"/>
      <c r="GI15" s="64"/>
      <c r="GJ15" s="64"/>
      <c r="GK15" s="64"/>
      <c r="GL15" s="64"/>
      <c r="GM15" s="64"/>
      <c r="GN15" s="64"/>
      <c r="GO15" s="64"/>
      <c r="GP15" s="63"/>
      <c r="GQ15" s="63"/>
      <c r="GR15" s="63"/>
      <c r="GS15" s="63"/>
      <c r="GT15" s="63"/>
      <c r="GU15" s="63"/>
      <c r="GV15" s="63"/>
      <c r="GW15" s="64"/>
      <c r="GX15" s="64"/>
      <c r="GY15" s="64"/>
      <c r="GZ15" s="64"/>
      <c r="HA15" s="64"/>
      <c r="HB15" s="64"/>
      <c r="HC15" s="64"/>
      <c r="HD15" s="63"/>
      <c r="HE15" s="63"/>
      <c r="HF15" s="63"/>
      <c r="HG15" s="63"/>
      <c r="HH15" s="63"/>
      <c r="HI15" s="63"/>
      <c r="HJ15" s="63"/>
      <c r="HK15" s="65" t="n">
        <f aca="false">COUNTIF(B15:HJ15,"A")</f>
        <v>0</v>
      </c>
      <c r="HL15" s="66" t="n">
        <f aca="false">COUNTIF(B15:HJ15,"O")</f>
        <v>0</v>
      </c>
      <c r="HM15" s="67" t="n">
        <f aca="false">COUNTIF(B15:HJ15,"D")</f>
        <v>0</v>
      </c>
      <c r="HN15" s="68" t="n">
        <f aca="false">COUNTIF(B15:HJ15,"N/A")</f>
        <v>0</v>
      </c>
      <c r="HO15" s="69" t="n">
        <f aca="false">IFERROR((HK15+HL15)/(HK15+HL15+HM15),0)</f>
        <v>0</v>
      </c>
    </row>
    <row r="16" customFormat="false" ht="15.75" hidden="false" customHeight="true" outlineLevel="0" collapsed="false">
      <c r="A16" s="62" t="str">
        <f aca="false">Roster!B16</f>
        <v>Resident 12</v>
      </c>
      <c r="B16" s="63"/>
      <c r="C16" s="63"/>
      <c r="D16" s="63"/>
      <c r="E16" s="63"/>
      <c r="F16" s="63"/>
      <c r="G16" s="63"/>
      <c r="H16" s="63"/>
      <c r="I16" s="64"/>
      <c r="J16" s="64"/>
      <c r="K16" s="64"/>
      <c r="L16" s="64"/>
      <c r="M16" s="64"/>
      <c r="N16" s="64"/>
      <c r="O16" s="64"/>
      <c r="P16" s="63"/>
      <c r="Q16" s="63"/>
      <c r="R16" s="63"/>
      <c r="S16" s="63"/>
      <c r="T16" s="63"/>
      <c r="U16" s="63"/>
      <c r="V16" s="63"/>
      <c r="W16" s="64"/>
      <c r="X16" s="64"/>
      <c r="Y16" s="64"/>
      <c r="Z16" s="64"/>
      <c r="AA16" s="64"/>
      <c r="AB16" s="64"/>
      <c r="AC16" s="64"/>
      <c r="AD16" s="63"/>
      <c r="AE16" s="63"/>
      <c r="AF16" s="63"/>
      <c r="AG16" s="63"/>
      <c r="AH16" s="63"/>
      <c r="AI16" s="63"/>
      <c r="AJ16" s="63"/>
      <c r="AK16" s="64"/>
      <c r="AL16" s="64"/>
      <c r="AM16" s="64"/>
      <c r="AN16" s="64"/>
      <c r="AO16" s="64"/>
      <c r="AP16" s="64"/>
      <c r="AQ16" s="64"/>
      <c r="AR16" s="63"/>
      <c r="AS16" s="63"/>
      <c r="AT16" s="63"/>
      <c r="AU16" s="63"/>
      <c r="AV16" s="63"/>
      <c r="AW16" s="63"/>
      <c r="AX16" s="63"/>
      <c r="AY16" s="64"/>
      <c r="AZ16" s="64"/>
      <c r="BA16" s="64"/>
      <c r="BB16" s="64"/>
      <c r="BC16" s="64"/>
      <c r="BD16" s="64"/>
      <c r="BE16" s="64"/>
      <c r="BF16" s="63"/>
      <c r="BG16" s="63"/>
      <c r="BH16" s="63"/>
      <c r="BI16" s="63"/>
      <c r="BJ16" s="63"/>
      <c r="BK16" s="63"/>
      <c r="BL16" s="63"/>
      <c r="BM16" s="64"/>
      <c r="BN16" s="64"/>
      <c r="BO16" s="64"/>
      <c r="BP16" s="64"/>
      <c r="BQ16" s="64"/>
      <c r="BR16" s="64"/>
      <c r="BS16" s="64"/>
      <c r="BT16" s="63"/>
      <c r="BU16" s="63"/>
      <c r="BV16" s="63"/>
      <c r="BW16" s="63"/>
      <c r="BX16" s="63"/>
      <c r="BY16" s="63"/>
      <c r="BZ16" s="63"/>
      <c r="CA16" s="64"/>
      <c r="CB16" s="64"/>
      <c r="CC16" s="64"/>
      <c r="CD16" s="64"/>
      <c r="CE16" s="64"/>
      <c r="CF16" s="64"/>
      <c r="CG16" s="64"/>
      <c r="CH16" s="63"/>
      <c r="CI16" s="63"/>
      <c r="CJ16" s="63"/>
      <c r="CK16" s="63"/>
      <c r="CL16" s="63"/>
      <c r="CM16" s="63"/>
      <c r="CN16" s="63"/>
      <c r="CO16" s="64"/>
      <c r="CP16" s="64"/>
      <c r="CQ16" s="64"/>
      <c r="CR16" s="64"/>
      <c r="CS16" s="64"/>
      <c r="CT16" s="64"/>
      <c r="CU16" s="64"/>
      <c r="CV16" s="63"/>
      <c r="CW16" s="63"/>
      <c r="CX16" s="63"/>
      <c r="CY16" s="63"/>
      <c r="CZ16" s="63"/>
      <c r="DA16" s="63"/>
      <c r="DB16" s="63"/>
      <c r="DC16" s="64"/>
      <c r="DD16" s="64"/>
      <c r="DE16" s="64"/>
      <c r="DF16" s="64"/>
      <c r="DG16" s="64"/>
      <c r="DH16" s="64"/>
      <c r="DI16" s="64"/>
      <c r="DJ16" s="63"/>
      <c r="DK16" s="63"/>
      <c r="DL16" s="63"/>
      <c r="DM16" s="63"/>
      <c r="DN16" s="63"/>
      <c r="DO16" s="63"/>
      <c r="DP16" s="63"/>
      <c r="DQ16" s="64"/>
      <c r="DR16" s="64"/>
      <c r="DS16" s="64"/>
      <c r="DT16" s="64"/>
      <c r="DU16" s="64"/>
      <c r="DV16" s="64"/>
      <c r="DW16" s="64"/>
      <c r="DX16" s="63"/>
      <c r="DY16" s="63"/>
      <c r="DZ16" s="63"/>
      <c r="EA16" s="63"/>
      <c r="EB16" s="63"/>
      <c r="EC16" s="63"/>
      <c r="ED16" s="63"/>
      <c r="EE16" s="64"/>
      <c r="EF16" s="64"/>
      <c r="EG16" s="64"/>
      <c r="EH16" s="64"/>
      <c r="EI16" s="64"/>
      <c r="EJ16" s="64"/>
      <c r="EK16" s="64"/>
      <c r="EL16" s="63"/>
      <c r="EM16" s="63"/>
      <c r="EN16" s="63"/>
      <c r="EO16" s="63"/>
      <c r="EP16" s="63"/>
      <c r="EQ16" s="63"/>
      <c r="ER16" s="63"/>
      <c r="ES16" s="64"/>
      <c r="ET16" s="64"/>
      <c r="EU16" s="64"/>
      <c r="EV16" s="64"/>
      <c r="EW16" s="64"/>
      <c r="EX16" s="64"/>
      <c r="EY16" s="64"/>
      <c r="EZ16" s="63"/>
      <c r="FA16" s="63"/>
      <c r="FB16" s="63"/>
      <c r="FC16" s="63"/>
      <c r="FD16" s="63"/>
      <c r="FE16" s="63"/>
      <c r="FF16" s="63"/>
      <c r="FG16" s="64"/>
      <c r="FH16" s="64"/>
      <c r="FI16" s="64"/>
      <c r="FJ16" s="64"/>
      <c r="FK16" s="64"/>
      <c r="FL16" s="64"/>
      <c r="FM16" s="64"/>
      <c r="FN16" s="63"/>
      <c r="FO16" s="63"/>
      <c r="FP16" s="63"/>
      <c r="FQ16" s="63"/>
      <c r="FR16" s="63"/>
      <c r="FS16" s="63"/>
      <c r="FT16" s="63"/>
      <c r="FU16" s="64"/>
      <c r="FV16" s="64"/>
      <c r="FW16" s="64"/>
      <c r="FX16" s="64"/>
      <c r="FY16" s="64"/>
      <c r="FZ16" s="64"/>
      <c r="GA16" s="64"/>
      <c r="GB16" s="63"/>
      <c r="GC16" s="63"/>
      <c r="GD16" s="63"/>
      <c r="GE16" s="63"/>
      <c r="GF16" s="63"/>
      <c r="GG16" s="63"/>
      <c r="GH16" s="63"/>
      <c r="GI16" s="64"/>
      <c r="GJ16" s="64"/>
      <c r="GK16" s="64"/>
      <c r="GL16" s="64"/>
      <c r="GM16" s="64"/>
      <c r="GN16" s="64"/>
      <c r="GO16" s="64"/>
      <c r="GP16" s="63"/>
      <c r="GQ16" s="63"/>
      <c r="GR16" s="63"/>
      <c r="GS16" s="63"/>
      <c r="GT16" s="63"/>
      <c r="GU16" s="63"/>
      <c r="GV16" s="63"/>
      <c r="GW16" s="64"/>
      <c r="GX16" s="64"/>
      <c r="GY16" s="64"/>
      <c r="GZ16" s="64"/>
      <c r="HA16" s="64"/>
      <c r="HB16" s="64"/>
      <c r="HC16" s="64"/>
      <c r="HD16" s="63"/>
      <c r="HE16" s="63"/>
      <c r="HF16" s="63"/>
      <c r="HG16" s="63"/>
      <c r="HH16" s="63"/>
      <c r="HI16" s="63"/>
      <c r="HJ16" s="63"/>
      <c r="HK16" s="65" t="n">
        <f aca="false">COUNTIF(B16:HJ16,"A")</f>
        <v>0</v>
      </c>
      <c r="HL16" s="66" t="n">
        <f aca="false">COUNTIF(B16:HJ16,"O")</f>
        <v>0</v>
      </c>
      <c r="HM16" s="67" t="n">
        <f aca="false">COUNTIF(B16:HJ16,"D")</f>
        <v>0</v>
      </c>
      <c r="HN16" s="68" t="n">
        <f aca="false">COUNTIF(B16:HJ16,"N/A")</f>
        <v>0</v>
      </c>
      <c r="HO16" s="69" t="n">
        <f aca="false">IFERROR((HK16+HL16)/(HK16+HL16+HM16),0)</f>
        <v>0</v>
      </c>
    </row>
    <row r="17" customFormat="false" ht="15.75" hidden="false" customHeight="true" outlineLevel="0" collapsed="false">
      <c r="A17" s="62" t="str">
        <f aca="false">Roster!B17</f>
        <v>Resident 13</v>
      </c>
      <c r="B17" s="63"/>
      <c r="C17" s="63"/>
      <c r="D17" s="63"/>
      <c r="E17" s="63"/>
      <c r="F17" s="63"/>
      <c r="G17" s="63"/>
      <c r="H17" s="63"/>
      <c r="I17" s="64"/>
      <c r="J17" s="64"/>
      <c r="K17" s="64"/>
      <c r="L17" s="64"/>
      <c r="M17" s="64"/>
      <c r="N17" s="64"/>
      <c r="O17" s="64"/>
      <c r="P17" s="63"/>
      <c r="Q17" s="63"/>
      <c r="R17" s="63"/>
      <c r="S17" s="63"/>
      <c r="T17" s="63"/>
      <c r="U17" s="63"/>
      <c r="V17" s="63"/>
      <c r="W17" s="64"/>
      <c r="X17" s="64"/>
      <c r="Y17" s="64"/>
      <c r="Z17" s="64"/>
      <c r="AA17" s="64"/>
      <c r="AB17" s="64"/>
      <c r="AC17" s="64"/>
      <c r="AD17" s="63"/>
      <c r="AE17" s="63"/>
      <c r="AF17" s="63"/>
      <c r="AG17" s="63"/>
      <c r="AH17" s="63"/>
      <c r="AI17" s="63"/>
      <c r="AJ17" s="63"/>
      <c r="AK17" s="64"/>
      <c r="AL17" s="64"/>
      <c r="AM17" s="64"/>
      <c r="AN17" s="64"/>
      <c r="AO17" s="64"/>
      <c r="AP17" s="64"/>
      <c r="AQ17" s="64"/>
      <c r="AR17" s="63"/>
      <c r="AS17" s="63"/>
      <c r="AT17" s="63"/>
      <c r="AU17" s="63"/>
      <c r="AV17" s="63"/>
      <c r="AW17" s="63"/>
      <c r="AX17" s="63"/>
      <c r="AY17" s="64"/>
      <c r="AZ17" s="64"/>
      <c r="BA17" s="64"/>
      <c r="BB17" s="64"/>
      <c r="BC17" s="64"/>
      <c r="BD17" s="64"/>
      <c r="BE17" s="64"/>
      <c r="BF17" s="63"/>
      <c r="BG17" s="63"/>
      <c r="BH17" s="63"/>
      <c r="BI17" s="63"/>
      <c r="BJ17" s="63"/>
      <c r="BK17" s="63"/>
      <c r="BL17" s="63"/>
      <c r="BM17" s="64"/>
      <c r="BN17" s="64"/>
      <c r="BO17" s="64"/>
      <c r="BP17" s="64"/>
      <c r="BQ17" s="64"/>
      <c r="BR17" s="64"/>
      <c r="BS17" s="64"/>
      <c r="BT17" s="63"/>
      <c r="BU17" s="63"/>
      <c r="BV17" s="63"/>
      <c r="BW17" s="63"/>
      <c r="BX17" s="63"/>
      <c r="BY17" s="63"/>
      <c r="BZ17" s="63"/>
      <c r="CA17" s="64"/>
      <c r="CB17" s="64"/>
      <c r="CC17" s="64"/>
      <c r="CD17" s="64"/>
      <c r="CE17" s="64"/>
      <c r="CF17" s="64"/>
      <c r="CG17" s="64"/>
      <c r="CH17" s="63"/>
      <c r="CI17" s="63"/>
      <c r="CJ17" s="63"/>
      <c r="CK17" s="63"/>
      <c r="CL17" s="63"/>
      <c r="CM17" s="63"/>
      <c r="CN17" s="63"/>
      <c r="CO17" s="64"/>
      <c r="CP17" s="64"/>
      <c r="CQ17" s="64"/>
      <c r="CR17" s="64"/>
      <c r="CS17" s="64"/>
      <c r="CT17" s="64"/>
      <c r="CU17" s="64"/>
      <c r="CV17" s="63"/>
      <c r="CW17" s="63"/>
      <c r="CX17" s="63"/>
      <c r="CY17" s="63"/>
      <c r="CZ17" s="63"/>
      <c r="DA17" s="63"/>
      <c r="DB17" s="63"/>
      <c r="DC17" s="64"/>
      <c r="DD17" s="64"/>
      <c r="DE17" s="64"/>
      <c r="DF17" s="64"/>
      <c r="DG17" s="64"/>
      <c r="DH17" s="64"/>
      <c r="DI17" s="64"/>
      <c r="DJ17" s="63"/>
      <c r="DK17" s="63"/>
      <c r="DL17" s="63"/>
      <c r="DM17" s="63"/>
      <c r="DN17" s="63"/>
      <c r="DO17" s="63"/>
      <c r="DP17" s="63"/>
      <c r="DQ17" s="64"/>
      <c r="DR17" s="64"/>
      <c r="DS17" s="64"/>
      <c r="DT17" s="64"/>
      <c r="DU17" s="64"/>
      <c r="DV17" s="64"/>
      <c r="DW17" s="64"/>
      <c r="DX17" s="63"/>
      <c r="DY17" s="63"/>
      <c r="DZ17" s="63"/>
      <c r="EA17" s="63"/>
      <c r="EB17" s="63"/>
      <c r="EC17" s="63"/>
      <c r="ED17" s="63"/>
      <c r="EE17" s="64"/>
      <c r="EF17" s="64"/>
      <c r="EG17" s="64"/>
      <c r="EH17" s="64"/>
      <c r="EI17" s="64"/>
      <c r="EJ17" s="64"/>
      <c r="EK17" s="64"/>
      <c r="EL17" s="63"/>
      <c r="EM17" s="63"/>
      <c r="EN17" s="63"/>
      <c r="EO17" s="63"/>
      <c r="EP17" s="63"/>
      <c r="EQ17" s="63"/>
      <c r="ER17" s="63"/>
      <c r="ES17" s="64"/>
      <c r="ET17" s="64"/>
      <c r="EU17" s="64"/>
      <c r="EV17" s="64"/>
      <c r="EW17" s="64"/>
      <c r="EX17" s="64"/>
      <c r="EY17" s="64"/>
      <c r="EZ17" s="63"/>
      <c r="FA17" s="63"/>
      <c r="FB17" s="63"/>
      <c r="FC17" s="63"/>
      <c r="FD17" s="63"/>
      <c r="FE17" s="63"/>
      <c r="FF17" s="63"/>
      <c r="FG17" s="64"/>
      <c r="FH17" s="64"/>
      <c r="FI17" s="64"/>
      <c r="FJ17" s="64"/>
      <c r="FK17" s="64"/>
      <c r="FL17" s="64"/>
      <c r="FM17" s="64"/>
      <c r="FN17" s="63"/>
      <c r="FO17" s="63"/>
      <c r="FP17" s="63"/>
      <c r="FQ17" s="63"/>
      <c r="FR17" s="63"/>
      <c r="FS17" s="63"/>
      <c r="FT17" s="63"/>
      <c r="FU17" s="64"/>
      <c r="FV17" s="64"/>
      <c r="FW17" s="64"/>
      <c r="FX17" s="64"/>
      <c r="FY17" s="64"/>
      <c r="FZ17" s="64"/>
      <c r="GA17" s="64"/>
      <c r="GB17" s="63"/>
      <c r="GC17" s="63"/>
      <c r="GD17" s="63"/>
      <c r="GE17" s="63"/>
      <c r="GF17" s="63"/>
      <c r="GG17" s="63"/>
      <c r="GH17" s="63"/>
      <c r="GI17" s="64"/>
      <c r="GJ17" s="64"/>
      <c r="GK17" s="64"/>
      <c r="GL17" s="64"/>
      <c r="GM17" s="64"/>
      <c r="GN17" s="64"/>
      <c r="GO17" s="64"/>
      <c r="GP17" s="63"/>
      <c r="GQ17" s="63"/>
      <c r="GR17" s="63"/>
      <c r="GS17" s="63"/>
      <c r="GT17" s="63"/>
      <c r="GU17" s="63"/>
      <c r="GV17" s="63"/>
      <c r="GW17" s="64"/>
      <c r="GX17" s="64"/>
      <c r="GY17" s="64"/>
      <c r="GZ17" s="64"/>
      <c r="HA17" s="64"/>
      <c r="HB17" s="64"/>
      <c r="HC17" s="64"/>
      <c r="HD17" s="63"/>
      <c r="HE17" s="63"/>
      <c r="HF17" s="63"/>
      <c r="HG17" s="63"/>
      <c r="HH17" s="63"/>
      <c r="HI17" s="63"/>
      <c r="HJ17" s="63"/>
      <c r="HK17" s="65" t="n">
        <f aca="false">COUNTIF(B17:HJ17,"A")</f>
        <v>0</v>
      </c>
      <c r="HL17" s="66" t="n">
        <f aca="false">COUNTIF(B17:HJ17,"O")</f>
        <v>0</v>
      </c>
      <c r="HM17" s="67" t="n">
        <f aca="false">COUNTIF(B17:HJ17,"D")</f>
        <v>0</v>
      </c>
      <c r="HN17" s="68" t="n">
        <f aca="false">COUNTIF(B17:HJ17,"N/A")</f>
        <v>0</v>
      </c>
      <c r="HO17" s="69" t="n">
        <f aca="false">IFERROR((HK17+HL17)/(HK17+HL17+HM17),0)</f>
        <v>0</v>
      </c>
    </row>
    <row r="18" customFormat="false" ht="15.75" hidden="false" customHeight="true" outlineLevel="0" collapsed="false">
      <c r="A18" s="62" t="str">
        <f aca="false">Roster!B18</f>
        <v>Resident 14</v>
      </c>
      <c r="B18" s="63"/>
      <c r="C18" s="63"/>
      <c r="D18" s="63"/>
      <c r="E18" s="63"/>
      <c r="F18" s="63"/>
      <c r="G18" s="63"/>
      <c r="H18" s="63"/>
      <c r="I18" s="64"/>
      <c r="J18" s="64"/>
      <c r="K18" s="64"/>
      <c r="L18" s="64"/>
      <c r="M18" s="64"/>
      <c r="N18" s="64"/>
      <c r="O18" s="64"/>
      <c r="P18" s="63"/>
      <c r="Q18" s="63"/>
      <c r="R18" s="63"/>
      <c r="S18" s="63"/>
      <c r="T18" s="63"/>
      <c r="U18" s="63"/>
      <c r="V18" s="63"/>
      <c r="W18" s="64"/>
      <c r="X18" s="64"/>
      <c r="Y18" s="64"/>
      <c r="Z18" s="64"/>
      <c r="AA18" s="64"/>
      <c r="AB18" s="64"/>
      <c r="AC18" s="64"/>
      <c r="AD18" s="63"/>
      <c r="AE18" s="63"/>
      <c r="AF18" s="63"/>
      <c r="AG18" s="63"/>
      <c r="AH18" s="63"/>
      <c r="AI18" s="63"/>
      <c r="AJ18" s="63"/>
      <c r="AK18" s="64"/>
      <c r="AL18" s="64"/>
      <c r="AM18" s="64"/>
      <c r="AN18" s="64"/>
      <c r="AO18" s="64"/>
      <c r="AP18" s="64"/>
      <c r="AQ18" s="64"/>
      <c r="AR18" s="63"/>
      <c r="AS18" s="63"/>
      <c r="AT18" s="63"/>
      <c r="AU18" s="63"/>
      <c r="AV18" s="63"/>
      <c r="AW18" s="63"/>
      <c r="AX18" s="63"/>
      <c r="AY18" s="64"/>
      <c r="AZ18" s="64"/>
      <c r="BA18" s="64"/>
      <c r="BB18" s="64"/>
      <c r="BC18" s="64"/>
      <c r="BD18" s="64"/>
      <c r="BE18" s="64"/>
      <c r="BF18" s="63"/>
      <c r="BG18" s="63"/>
      <c r="BH18" s="63"/>
      <c r="BI18" s="63"/>
      <c r="BJ18" s="63"/>
      <c r="BK18" s="63"/>
      <c r="BL18" s="63"/>
      <c r="BM18" s="64"/>
      <c r="BN18" s="64"/>
      <c r="BO18" s="64"/>
      <c r="BP18" s="64"/>
      <c r="BQ18" s="64"/>
      <c r="BR18" s="64"/>
      <c r="BS18" s="64"/>
      <c r="BT18" s="63"/>
      <c r="BU18" s="63"/>
      <c r="BV18" s="63"/>
      <c r="BW18" s="63"/>
      <c r="BX18" s="63"/>
      <c r="BY18" s="63"/>
      <c r="BZ18" s="63"/>
      <c r="CA18" s="64"/>
      <c r="CB18" s="64"/>
      <c r="CC18" s="64"/>
      <c r="CD18" s="64"/>
      <c r="CE18" s="64"/>
      <c r="CF18" s="64"/>
      <c r="CG18" s="64"/>
      <c r="CH18" s="63"/>
      <c r="CI18" s="63"/>
      <c r="CJ18" s="63"/>
      <c r="CK18" s="63"/>
      <c r="CL18" s="63"/>
      <c r="CM18" s="63"/>
      <c r="CN18" s="63"/>
      <c r="CO18" s="64"/>
      <c r="CP18" s="64"/>
      <c r="CQ18" s="64"/>
      <c r="CR18" s="64"/>
      <c r="CS18" s="64"/>
      <c r="CT18" s="64"/>
      <c r="CU18" s="64"/>
      <c r="CV18" s="63"/>
      <c r="CW18" s="63"/>
      <c r="CX18" s="63"/>
      <c r="CY18" s="63"/>
      <c r="CZ18" s="63"/>
      <c r="DA18" s="63"/>
      <c r="DB18" s="63"/>
      <c r="DC18" s="64"/>
      <c r="DD18" s="64"/>
      <c r="DE18" s="64"/>
      <c r="DF18" s="64"/>
      <c r="DG18" s="64"/>
      <c r="DH18" s="64"/>
      <c r="DI18" s="64"/>
      <c r="DJ18" s="63"/>
      <c r="DK18" s="63"/>
      <c r="DL18" s="63"/>
      <c r="DM18" s="63"/>
      <c r="DN18" s="63"/>
      <c r="DO18" s="63"/>
      <c r="DP18" s="63"/>
      <c r="DQ18" s="64"/>
      <c r="DR18" s="64"/>
      <c r="DS18" s="64"/>
      <c r="DT18" s="64"/>
      <c r="DU18" s="64"/>
      <c r="DV18" s="64"/>
      <c r="DW18" s="64"/>
      <c r="DX18" s="63"/>
      <c r="DY18" s="63"/>
      <c r="DZ18" s="63"/>
      <c r="EA18" s="63"/>
      <c r="EB18" s="63"/>
      <c r="EC18" s="63"/>
      <c r="ED18" s="63"/>
      <c r="EE18" s="64"/>
      <c r="EF18" s="64"/>
      <c r="EG18" s="64"/>
      <c r="EH18" s="64"/>
      <c r="EI18" s="64"/>
      <c r="EJ18" s="64"/>
      <c r="EK18" s="64"/>
      <c r="EL18" s="63"/>
      <c r="EM18" s="63"/>
      <c r="EN18" s="63"/>
      <c r="EO18" s="63"/>
      <c r="EP18" s="63"/>
      <c r="EQ18" s="63"/>
      <c r="ER18" s="63"/>
      <c r="ES18" s="64"/>
      <c r="ET18" s="64"/>
      <c r="EU18" s="64"/>
      <c r="EV18" s="64"/>
      <c r="EW18" s="64"/>
      <c r="EX18" s="64"/>
      <c r="EY18" s="64"/>
      <c r="EZ18" s="63"/>
      <c r="FA18" s="63"/>
      <c r="FB18" s="63"/>
      <c r="FC18" s="63"/>
      <c r="FD18" s="63"/>
      <c r="FE18" s="63"/>
      <c r="FF18" s="63"/>
      <c r="FG18" s="64"/>
      <c r="FH18" s="64"/>
      <c r="FI18" s="64"/>
      <c r="FJ18" s="64"/>
      <c r="FK18" s="64"/>
      <c r="FL18" s="64"/>
      <c r="FM18" s="64"/>
      <c r="FN18" s="63"/>
      <c r="FO18" s="63"/>
      <c r="FP18" s="63"/>
      <c r="FQ18" s="63"/>
      <c r="FR18" s="63"/>
      <c r="FS18" s="63"/>
      <c r="FT18" s="63"/>
      <c r="FU18" s="64"/>
      <c r="FV18" s="64"/>
      <c r="FW18" s="64"/>
      <c r="FX18" s="64"/>
      <c r="FY18" s="64"/>
      <c r="FZ18" s="64"/>
      <c r="GA18" s="64"/>
      <c r="GB18" s="63"/>
      <c r="GC18" s="63"/>
      <c r="GD18" s="63"/>
      <c r="GE18" s="63"/>
      <c r="GF18" s="63"/>
      <c r="GG18" s="63"/>
      <c r="GH18" s="63"/>
      <c r="GI18" s="64"/>
      <c r="GJ18" s="64"/>
      <c r="GK18" s="64"/>
      <c r="GL18" s="64"/>
      <c r="GM18" s="64"/>
      <c r="GN18" s="64"/>
      <c r="GO18" s="64"/>
      <c r="GP18" s="63"/>
      <c r="GQ18" s="63"/>
      <c r="GR18" s="63"/>
      <c r="GS18" s="63"/>
      <c r="GT18" s="63"/>
      <c r="GU18" s="63"/>
      <c r="GV18" s="63"/>
      <c r="GW18" s="64"/>
      <c r="GX18" s="64"/>
      <c r="GY18" s="64"/>
      <c r="GZ18" s="64"/>
      <c r="HA18" s="64"/>
      <c r="HB18" s="64"/>
      <c r="HC18" s="64"/>
      <c r="HD18" s="63"/>
      <c r="HE18" s="63"/>
      <c r="HF18" s="63"/>
      <c r="HG18" s="63"/>
      <c r="HH18" s="63"/>
      <c r="HI18" s="63"/>
      <c r="HJ18" s="63"/>
      <c r="HK18" s="65" t="n">
        <f aca="false">COUNTIF(B18:HJ18,"A")</f>
        <v>0</v>
      </c>
      <c r="HL18" s="66" t="n">
        <f aca="false">COUNTIF(B18:HJ18,"O")</f>
        <v>0</v>
      </c>
      <c r="HM18" s="67" t="n">
        <f aca="false">COUNTIF(B18:HJ18,"D")</f>
        <v>0</v>
      </c>
      <c r="HN18" s="68" t="n">
        <f aca="false">COUNTIF(B18:HJ18,"N/A")</f>
        <v>0</v>
      </c>
      <c r="HO18" s="69" t="n">
        <f aca="false">IFERROR((HK18+HL18)/(HK18+HL18+HM18),0)</f>
        <v>0</v>
      </c>
    </row>
    <row r="19" customFormat="false" ht="15.75" hidden="false" customHeight="true" outlineLevel="0" collapsed="false">
      <c r="A19" s="62" t="str">
        <f aca="false">Roster!B19</f>
        <v>Resident 15</v>
      </c>
      <c r="B19" s="63"/>
      <c r="C19" s="63"/>
      <c r="D19" s="63"/>
      <c r="E19" s="63"/>
      <c r="F19" s="63"/>
      <c r="G19" s="63"/>
      <c r="H19" s="63"/>
      <c r="I19" s="64"/>
      <c r="J19" s="64"/>
      <c r="K19" s="64"/>
      <c r="L19" s="64"/>
      <c r="M19" s="64"/>
      <c r="N19" s="64"/>
      <c r="O19" s="64"/>
      <c r="P19" s="63"/>
      <c r="Q19" s="63"/>
      <c r="R19" s="63"/>
      <c r="S19" s="63"/>
      <c r="T19" s="63"/>
      <c r="U19" s="63"/>
      <c r="V19" s="63"/>
      <c r="W19" s="64"/>
      <c r="X19" s="64"/>
      <c r="Y19" s="64"/>
      <c r="Z19" s="64"/>
      <c r="AA19" s="64"/>
      <c r="AB19" s="64"/>
      <c r="AC19" s="64"/>
      <c r="AD19" s="63"/>
      <c r="AE19" s="63"/>
      <c r="AF19" s="63"/>
      <c r="AG19" s="63"/>
      <c r="AH19" s="63"/>
      <c r="AI19" s="63"/>
      <c r="AJ19" s="63"/>
      <c r="AK19" s="64"/>
      <c r="AL19" s="64"/>
      <c r="AM19" s="64"/>
      <c r="AN19" s="64"/>
      <c r="AO19" s="64"/>
      <c r="AP19" s="64"/>
      <c r="AQ19" s="64"/>
      <c r="AR19" s="63"/>
      <c r="AS19" s="63"/>
      <c r="AT19" s="63"/>
      <c r="AU19" s="63"/>
      <c r="AV19" s="63"/>
      <c r="AW19" s="63"/>
      <c r="AX19" s="63"/>
      <c r="AY19" s="64"/>
      <c r="AZ19" s="64"/>
      <c r="BA19" s="64"/>
      <c r="BB19" s="64"/>
      <c r="BC19" s="64"/>
      <c r="BD19" s="64"/>
      <c r="BE19" s="64"/>
      <c r="BF19" s="63"/>
      <c r="BG19" s="63"/>
      <c r="BH19" s="63"/>
      <c r="BI19" s="63"/>
      <c r="BJ19" s="63"/>
      <c r="BK19" s="63"/>
      <c r="BL19" s="63"/>
      <c r="BM19" s="64"/>
      <c r="BN19" s="64"/>
      <c r="BO19" s="64"/>
      <c r="BP19" s="64"/>
      <c r="BQ19" s="64"/>
      <c r="BR19" s="64"/>
      <c r="BS19" s="64"/>
      <c r="BT19" s="63"/>
      <c r="BU19" s="63"/>
      <c r="BV19" s="63"/>
      <c r="BW19" s="63"/>
      <c r="BX19" s="63"/>
      <c r="BY19" s="63"/>
      <c r="BZ19" s="63"/>
      <c r="CA19" s="64"/>
      <c r="CB19" s="64"/>
      <c r="CC19" s="64"/>
      <c r="CD19" s="64"/>
      <c r="CE19" s="64"/>
      <c r="CF19" s="64"/>
      <c r="CG19" s="64"/>
      <c r="CH19" s="63"/>
      <c r="CI19" s="63"/>
      <c r="CJ19" s="63"/>
      <c r="CK19" s="63"/>
      <c r="CL19" s="63"/>
      <c r="CM19" s="63"/>
      <c r="CN19" s="63"/>
      <c r="CO19" s="64"/>
      <c r="CP19" s="64"/>
      <c r="CQ19" s="64"/>
      <c r="CR19" s="64"/>
      <c r="CS19" s="64"/>
      <c r="CT19" s="64"/>
      <c r="CU19" s="64"/>
      <c r="CV19" s="63"/>
      <c r="CW19" s="63"/>
      <c r="CX19" s="63"/>
      <c r="CY19" s="63"/>
      <c r="CZ19" s="63"/>
      <c r="DA19" s="63"/>
      <c r="DB19" s="63"/>
      <c r="DC19" s="64"/>
      <c r="DD19" s="64"/>
      <c r="DE19" s="64"/>
      <c r="DF19" s="64"/>
      <c r="DG19" s="64"/>
      <c r="DH19" s="64"/>
      <c r="DI19" s="64"/>
      <c r="DJ19" s="63"/>
      <c r="DK19" s="63"/>
      <c r="DL19" s="63"/>
      <c r="DM19" s="63"/>
      <c r="DN19" s="63"/>
      <c r="DO19" s="63"/>
      <c r="DP19" s="63"/>
      <c r="DQ19" s="64"/>
      <c r="DR19" s="64"/>
      <c r="DS19" s="64"/>
      <c r="DT19" s="64"/>
      <c r="DU19" s="64"/>
      <c r="DV19" s="64"/>
      <c r="DW19" s="64"/>
      <c r="DX19" s="63"/>
      <c r="DY19" s="63"/>
      <c r="DZ19" s="63"/>
      <c r="EA19" s="63"/>
      <c r="EB19" s="63"/>
      <c r="EC19" s="63"/>
      <c r="ED19" s="63"/>
      <c r="EE19" s="64"/>
      <c r="EF19" s="64"/>
      <c r="EG19" s="64"/>
      <c r="EH19" s="64"/>
      <c r="EI19" s="64"/>
      <c r="EJ19" s="64"/>
      <c r="EK19" s="64"/>
      <c r="EL19" s="63"/>
      <c r="EM19" s="63"/>
      <c r="EN19" s="63"/>
      <c r="EO19" s="63"/>
      <c r="EP19" s="63"/>
      <c r="EQ19" s="63"/>
      <c r="ER19" s="63"/>
      <c r="ES19" s="64"/>
      <c r="ET19" s="64"/>
      <c r="EU19" s="64"/>
      <c r="EV19" s="64"/>
      <c r="EW19" s="64"/>
      <c r="EX19" s="64"/>
      <c r="EY19" s="64"/>
      <c r="EZ19" s="63"/>
      <c r="FA19" s="63"/>
      <c r="FB19" s="63"/>
      <c r="FC19" s="63"/>
      <c r="FD19" s="63"/>
      <c r="FE19" s="63"/>
      <c r="FF19" s="63"/>
      <c r="FG19" s="64"/>
      <c r="FH19" s="64"/>
      <c r="FI19" s="64"/>
      <c r="FJ19" s="64"/>
      <c r="FK19" s="64"/>
      <c r="FL19" s="64"/>
      <c r="FM19" s="64"/>
      <c r="FN19" s="63"/>
      <c r="FO19" s="63"/>
      <c r="FP19" s="63"/>
      <c r="FQ19" s="63"/>
      <c r="FR19" s="63"/>
      <c r="FS19" s="63"/>
      <c r="FT19" s="63"/>
      <c r="FU19" s="64"/>
      <c r="FV19" s="64"/>
      <c r="FW19" s="64"/>
      <c r="FX19" s="64"/>
      <c r="FY19" s="64"/>
      <c r="FZ19" s="64"/>
      <c r="GA19" s="64"/>
      <c r="GB19" s="63"/>
      <c r="GC19" s="63"/>
      <c r="GD19" s="63"/>
      <c r="GE19" s="63"/>
      <c r="GF19" s="63"/>
      <c r="GG19" s="63"/>
      <c r="GH19" s="63"/>
      <c r="GI19" s="64"/>
      <c r="GJ19" s="64"/>
      <c r="GK19" s="64"/>
      <c r="GL19" s="64"/>
      <c r="GM19" s="64"/>
      <c r="GN19" s="64"/>
      <c r="GO19" s="64"/>
      <c r="GP19" s="63"/>
      <c r="GQ19" s="63"/>
      <c r="GR19" s="63"/>
      <c r="GS19" s="63"/>
      <c r="GT19" s="63"/>
      <c r="GU19" s="63"/>
      <c r="GV19" s="63"/>
      <c r="GW19" s="64"/>
      <c r="GX19" s="64"/>
      <c r="GY19" s="64"/>
      <c r="GZ19" s="64"/>
      <c r="HA19" s="64"/>
      <c r="HB19" s="64"/>
      <c r="HC19" s="64"/>
      <c r="HD19" s="63"/>
      <c r="HE19" s="63"/>
      <c r="HF19" s="63"/>
      <c r="HG19" s="63"/>
      <c r="HH19" s="63"/>
      <c r="HI19" s="63"/>
      <c r="HJ19" s="63"/>
      <c r="HK19" s="65" t="n">
        <f aca="false">COUNTIF(B19:HJ19,"A")</f>
        <v>0</v>
      </c>
      <c r="HL19" s="66" t="n">
        <f aca="false">COUNTIF(B19:HJ19,"O")</f>
        <v>0</v>
      </c>
      <c r="HM19" s="67" t="n">
        <f aca="false">COUNTIF(B19:HJ19,"D")</f>
        <v>0</v>
      </c>
      <c r="HN19" s="68" t="n">
        <f aca="false">COUNTIF(B19:HJ19,"N/A")</f>
        <v>0</v>
      </c>
      <c r="HO19" s="69" t="n">
        <f aca="false">IFERROR((HK19+HL19)/(HK19+HL19+HM19),0)</f>
        <v>0</v>
      </c>
    </row>
    <row r="20" customFormat="false" ht="15.75" hidden="false" customHeight="true" outlineLevel="0" collapsed="false">
      <c r="A20" s="62" t="n">
        <f aca="false">Roster!B20</f>
        <v>0</v>
      </c>
      <c r="B20" s="63"/>
      <c r="C20" s="63"/>
      <c r="D20" s="63"/>
      <c r="E20" s="63"/>
      <c r="F20" s="63"/>
      <c r="G20" s="63"/>
      <c r="H20" s="63"/>
      <c r="I20" s="64"/>
      <c r="J20" s="64"/>
      <c r="K20" s="64"/>
      <c r="L20" s="64"/>
      <c r="M20" s="64"/>
      <c r="N20" s="64"/>
      <c r="O20" s="64"/>
      <c r="P20" s="63"/>
      <c r="Q20" s="63"/>
      <c r="R20" s="63"/>
      <c r="S20" s="63"/>
      <c r="T20" s="63"/>
      <c r="U20" s="63"/>
      <c r="V20" s="63"/>
      <c r="W20" s="64"/>
      <c r="X20" s="64"/>
      <c r="Y20" s="64"/>
      <c r="Z20" s="64"/>
      <c r="AA20" s="64"/>
      <c r="AB20" s="64"/>
      <c r="AC20" s="64"/>
      <c r="AD20" s="63"/>
      <c r="AE20" s="63"/>
      <c r="AF20" s="63"/>
      <c r="AG20" s="63"/>
      <c r="AH20" s="63"/>
      <c r="AI20" s="63"/>
      <c r="AJ20" s="63"/>
      <c r="AK20" s="64"/>
      <c r="AL20" s="64"/>
      <c r="AM20" s="64"/>
      <c r="AN20" s="64"/>
      <c r="AO20" s="64"/>
      <c r="AP20" s="64"/>
      <c r="AQ20" s="64"/>
      <c r="AR20" s="63"/>
      <c r="AS20" s="63"/>
      <c r="AT20" s="63"/>
      <c r="AU20" s="63"/>
      <c r="AV20" s="63"/>
      <c r="AW20" s="63"/>
      <c r="AX20" s="63"/>
      <c r="AY20" s="64"/>
      <c r="AZ20" s="64"/>
      <c r="BA20" s="64"/>
      <c r="BB20" s="64"/>
      <c r="BC20" s="64"/>
      <c r="BD20" s="64"/>
      <c r="BE20" s="64"/>
      <c r="BF20" s="63"/>
      <c r="BG20" s="63"/>
      <c r="BH20" s="63"/>
      <c r="BI20" s="63"/>
      <c r="BJ20" s="63"/>
      <c r="BK20" s="63"/>
      <c r="BL20" s="63"/>
      <c r="BM20" s="64"/>
      <c r="BN20" s="64"/>
      <c r="BO20" s="64"/>
      <c r="BP20" s="64"/>
      <c r="BQ20" s="64"/>
      <c r="BR20" s="64"/>
      <c r="BS20" s="64"/>
      <c r="BT20" s="63"/>
      <c r="BU20" s="63"/>
      <c r="BV20" s="63"/>
      <c r="BW20" s="63"/>
      <c r="BX20" s="63"/>
      <c r="BY20" s="63"/>
      <c r="BZ20" s="63"/>
      <c r="CA20" s="64"/>
      <c r="CB20" s="64"/>
      <c r="CC20" s="64"/>
      <c r="CD20" s="64"/>
      <c r="CE20" s="64"/>
      <c r="CF20" s="64"/>
      <c r="CG20" s="64"/>
      <c r="CH20" s="63"/>
      <c r="CI20" s="63"/>
      <c r="CJ20" s="63"/>
      <c r="CK20" s="63"/>
      <c r="CL20" s="63"/>
      <c r="CM20" s="63"/>
      <c r="CN20" s="63"/>
      <c r="CO20" s="64"/>
      <c r="CP20" s="64"/>
      <c r="CQ20" s="64"/>
      <c r="CR20" s="64"/>
      <c r="CS20" s="64"/>
      <c r="CT20" s="64"/>
      <c r="CU20" s="64"/>
      <c r="CV20" s="63"/>
      <c r="CW20" s="63"/>
      <c r="CX20" s="63"/>
      <c r="CY20" s="63"/>
      <c r="CZ20" s="63"/>
      <c r="DA20" s="63"/>
      <c r="DB20" s="63"/>
      <c r="DC20" s="64"/>
      <c r="DD20" s="64"/>
      <c r="DE20" s="64"/>
      <c r="DF20" s="64"/>
      <c r="DG20" s="64"/>
      <c r="DH20" s="64"/>
      <c r="DI20" s="64"/>
      <c r="DJ20" s="63"/>
      <c r="DK20" s="63"/>
      <c r="DL20" s="63"/>
      <c r="DM20" s="63"/>
      <c r="DN20" s="63"/>
      <c r="DO20" s="63"/>
      <c r="DP20" s="63"/>
      <c r="DQ20" s="64"/>
      <c r="DR20" s="64"/>
      <c r="DS20" s="64"/>
      <c r="DT20" s="64"/>
      <c r="DU20" s="64"/>
      <c r="DV20" s="64"/>
      <c r="DW20" s="64"/>
      <c r="DX20" s="63"/>
      <c r="DY20" s="63"/>
      <c r="DZ20" s="63"/>
      <c r="EA20" s="63"/>
      <c r="EB20" s="63"/>
      <c r="EC20" s="63"/>
      <c r="ED20" s="63"/>
      <c r="EE20" s="64"/>
      <c r="EF20" s="64"/>
      <c r="EG20" s="64"/>
      <c r="EH20" s="64"/>
      <c r="EI20" s="64"/>
      <c r="EJ20" s="64"/>
      <c r="EK20" s="64"/>
      <c r="EL20" s="63"/>
      <c r="EM20" s="63"/>
      <c r="EN20" s="63"/>
      <c r="EO20" s="63"/>
      <c r="EP20" s="63"/>
      <c r="EQ20" s="63"/>
      <c r="ER20" s="63"/>
      <c r="ES20" s="64"/>
      <c r="ET20" s="64"/>
      <c r="EU20" s="64"/>
      <c r="EV20" s="64"/>
      <c r="EW20" s="64"/>
      <c r="EX20" s="64"/>
      <c r="EY20" s="64"/>
      <c r="EZ20" s="63"/>
      <c r="FA20" s="63"/>
      <c r="FB20" s="63"/>
      <c r="FC20" s="63"/>
      <c r="FD20" s="63"/>
      <c r="FE20" s="63"/>
      <c r="FF20" s="63"/>
      <c r="FG20" s="64"/>
      <c r="FH20" s="64"/>
      <c r="FI20" s="64"/>
      <c r="FJ20" s="64"/>
      <c r="FK20" s="64"/>
      <c r="FL20" s="64"/>
      <c r="FM20" s="64"/>
      <c r="FN20" s="63"/>
      <c r="FO20" s="63"/>
      <c r="FP20" s="63"/>
      <c r="FQ20" s="63"/>
      <c r="FR20" s="63"/>
      <c r="FS20" s="63"/>
      <c r="FT20" s="63"/>
      <c r="FU20" s="64"/>
      <c r="FV20" s="64"/>
      <c r="FW20" s="64"/>
      <c r="FX20" s="64"/>
      <c r="FY20" s="64"/>
      <c r="FZ20" s="64"/>
      <c r="GA20" s="64"/>
      <c r="GB20" s="63"/>
      <c r="GC20" s="63"/>
      <c r="GD20" s="63"/>
      <c r="GE20" s="63"/>
      <c r="GF20" s="63"/>
      <c r="GG20" s="63"/>
      <c r="GH20" s="63"/>
      <c r="GI20" s="64"/>
      <c r="GJ20" s="64"/>
      <c r="GK20" s="64"/>
      <c r="GL20" s="64"/>
      <c r="GM20" s="64"/>
      <c r="GN20" s="64"/>
      <c r="GO20" s="64"/>
      <c r="GP20" s="63"/>
      <c r="GQ20" s="63"/>
      <c r="GR20" s="63"/>
      <c r="GS20" s="63"/>
      <c r="GT20" s="63"/>
      <c r="GU20" s="63"/>
      <c r="GV20" s="63"/>
      <c r="GW20" s="64"/>
      <c r="GX20" s="64"/>
      <c r="GY20" s="64"/>
      <c r="GZ20" s="64"/>
      <c r="HA20" s="64"/>
      <c r="HB20" s="64"/>
      <c r="HC20" s="64"/>
      <c r="HD20" s="63"/>
      <c r="HE20" s="63"/>
      <c r="HF20" s="63"/>
      <c r="HG20" s="63"/>
      <c r="HH20" s="63"/>
      <c r="HI20" s="63"/>
      <c r="HJ20" s="63"/>
      <c r="HK20" s="65" t="n">
        <f aca="false">COUNTIF(B20:HJ20,"A")</f>
        <v>0</v>
      </c>
      <c r="HL20" s="66" t="n">
        <f aca="false">COUNTIF(B20:HJ20,"O")</f>
        <v>0</v>
      </c>
      <c r="HM20" s="67" t="n">
        <f aca="false">COUNTIF(B20:HJ20,"D")</f>
        <v>0</v>
      </c>
      <c r="HN20" s="68" t="n">
        <f aca="false">COUNTIF(B20:HJ20,"N/A")</f>
        <v>0</v>
      </c>
      <c r="HO20" s="69" t="n">
        <f aca="false">IFERROR((HK20+HL20)/(HK20+HL20+HM20),0)</f>
        <v>0</v>
      </c>
    </row>
    <row r="21" customFormat="false" ht="15.75" hidden="false" customHeight="true" outlineLevel="0" collapsed="false">
      <c r="A21" s="62" t="n">
        <f aca="false">Roster!B21</f>
        <v>0</v>
      </c>
      <c r="B21" s="63"/>
      <c r="C21" s="63"/>
      <c r="D21" s="63"/>
      <c r="E21" s="63"/>
      <c r="F21" s="63"/>
      <c r="G21" s="63"/>
      <c r="H21" s="63"/>
      <c r="I21" s="64"/>
      <c r="J21" s="64"/>
      <c r="K21" s="64"/>
      <c r="L21" s="64"/>
      <c r="M21" s="64"/>
      <c r="N21" s="64"/>
      <c r="O21" s="64"/>
      <c r="P21" s="63"/>
      <c r="Q21" s="63"/>
      <c r="R21" s="63"/>
      <c r="S21" s="63"/>
      <c r="T21" s="63"/>
      <c r="U21" s="63"/>
      <c r="V21" s="63"/>
      <c r="W21" s="64"/>
      <c r="X21" s="64"/>
      <c r="Y21" s="64"/>
      <c r="Z21" s="64"/>
      <c r="AA21" s="64"/>
      <c r="AB21" s="64"/>
      <c r="AC21" s="64"/>
      <c r="AD21" s="63"/>
      <c r="AE21" s="63"/>
      <c r="AF21" s="63"/>
      <c r="AG21" s="63"/>
      <c r="AH21" s="63"/>
      <c r="AI21" s="63"/>
      <c r="AJ21" s="63"/>
      <c r="AK21" s="64"/>
      <c r="AL21" s="64"/>
      <c r="AM21" s="64"/>
      <c r="AN21" s="64"/>
      <c r="AO21" s="64"/>
      <c r="AP21" s="64"/>
      <c r="AQ21" s="64"/>
      <c r="AR21" s="63"/>
      <c r="AS21" s="63"/>
      <c r="AT21" s="63"/>
      <c r="AU21" s="63"/>
      <c r="AV21" s="63"/>
      <c r="AW21" s="63"/>
      <c r="AX21" s="63"/>
      <c r="AY21" s="64"/>
      <c r="AZ21" s="64"/>
      <c r="BA21" s="64"/>
      <c r="BB21" s="64"/>
      <c r="BC21" s="64"/>
      <c r="BD21" s="64"/>
      <c r="BE21" s="64"/>
      <c r="BF21" s="63"/>
      <c r="BG21" s="63"/>
      <c r="BH21" s="63"/>
      <c r="BI21" s="63"/>
      <c r="BJ21" s="63"/>
      <c r="BK21" s="63"/>
      <c r="BL21" s="63"/>
      <c r="BM21" s="64"/>
      <c r="BN21" s="64"/>
      <c r="BO21" s="64"/>
      <c r="BP21" s="64"/>
      <c r="BQ21" s="64"/>
      <c r="BR21" s="64"/>
      <c r="BS21" s="64"/>
      <c r="BT21" s="63"/>
      <c r="BU21" s="63"/>
      <c r="BV21" s="63"/>
      <c r="BW21" s="63"/>
      <c r="BX21" s="63"/>
      <c r="BY21" s="63"/>
      <c r="BZ21" s="63"/>
      <c r="CA21" s="64"/>
      <c r="CB21" s="64"/>
      <c r="CC21" s="64"/>
      <c r="CD21" s="64"/>
      <c r="CE21" s="64"/>
      <c r="CF21" s="64"/>
      <c r="CG21" s="64"/>
      <c r="CH21" s="63"/>
      <c r="CI21" s="63"/>
      <c r="CJ21" s="63"/>
      <c r="CK21" s="63"/>
      <c r="CL21" s="63"/>
      <c r="CM21" s="63"/>
      <c r="CN21" s="63"/>
      <c r="CO21" s="64"/>
      <c r="CP21" s="64"/>
      <c r="CQ21" s="64"/>
      <c r="CR21" s="64"/>
      <c r="CS21" s="64"/>
      <c r="CT21" s="64"/>
      <c r="CU21" s="64"/>
      <c r="CV21" s="63"/>
      <c r="CW21" s="63"/>
      <c r="CX21" s="63"/>
      <c r="CY21" s="63"/>
      <c r="CZ21" s="63"/>
      <c r="DA21" s="63"/>
      <c r="DB21" s="63"/>
      <c r="DC21" s="64"/>
      <c r="DD21" s="64"/>
      <c r="DE21" s="64"/>
      <c r="DF21" s="64"/>
      <c r="DG21" s="64"/>
      <c r="DH21" s="64"/>
      <c r="DI21" s="64"/>
      <c r="DJ21" s="63"/>
      <c r="DK21" s="63"/>
      <c r="DL21" s="63"/>
      <c r="DM21" s="63"/>
      <c r="DN21" s="63"/>
      <c r="DO21" s="63"/>
      <c r="DP21" s="63"/>
      <c r="DQ21" s="64"/>
      <c r="DR21" s="64"/>
      <c r="DS21" s="64"/>
      <c r="DT21" s="64"/>
      <c r="DU21" s="64"/>
      <c r="DV21" s="64"/>
      <c r="DW21" s="64"/>
      <c r="DX21" s="63"/>
      <c r="DY21" s="63"/>
      <c r="DZ21" s="63"/>
      <c r="EA21" s="63"/>
      <c r="EB21" s="63"/>
      <c r="EC21" s="63"/>
      <c r="ED21" s="63"/>
      <c r="EE21" s="64"/>
      <c r="EF21" s="64"/>
      <c r="EG21" s="64"/>
      <c r="EH21" s="64"/>
      <c r="EI21" s="64"/>
      <c r="EJ21" s="64"/>
      <c r="EK21" s="64"/>
      <c r="EL21" s="63"/>
      <c r="EM21" s="63"/>
      <c r="EN21" s="63"/>
      <c r="EO21" s="63"/>
      <c r="EP21" s="63"/>
      <c r="EQ21" s="63"/>
      <c r="ER21" s="63"/>
      <c r="ES21" s="64"/>
      <c r="ET21" s="64"/>
      <c r="EU21" s="64"/>
      <c r="EV21" s="64"/>
      <c r="EW21" s="64"/>
      <c r="EX21" s="64"/>
      <c r="EY21" s="64"/>
      <c r="EZ21" s="63"/>
      <c r="FA21" s="63"/>
      <c r="FB21" s="63"/>
      <c r="FC21" s="63"/>
      <c r="FD21" s="63"/>
      <c r="FE21" s="63"/>
      <c r="FF21" s="63"/>
      <c r="FG21" s="64"/>
      <c r="FH21" s="64"/>
      <c r="FI21" s="64"/>
      <c r="FJ21" s="64"/>
      <c r="FK21" s="64"/>
      <c r="FL21" s="64"/>
      <c r="FM21" s="64"/>
      <c r="FN21" s="63"/>
      <c r="FO21" s="63"/>
      <c r="FP21" s="63"/>
      <c r="FQ21" s="63"/>
      <c r="FR21" s="63"/>
      <c r="FS21" s="63"/>
      <c r="FT21" s="63"/>
      <c r="FU21" s="64"/>
      <c r="FV21" s="64"/>
      <c r="FW21" s="64"/>
      <c r="FX21" s="64"/>
      <c r="FY21" s="64"/>
      <c r="FZ21" s="64"/>
      <c r="GA21" s="64"/>
      <c r="GB21" s="63"/>
      <c r="GC21" s="63"/>
      <c r="GD21" s="63"/>
      <c r="GE21" s="63"/>
      <c r="GF21" s="63"/>
      <c r="GG21" s="63"/>
      <c r="GH21" s="63"/>
      <c r="GI21" s="64"/>
      <c r="GJ21" s="64"/>
      <c r="GK21" s="64"/>
      <c r="GL21" s="64"/>
      <c r="GM21" s="64"/>
      <c r="GN21" s="64"/>
      <c r="GO21" s="64"/>
      <c r="GP21" s="63"/>
      <c r="GQ21" s="63"/>
      <c r="GR21" s="63"/>
      <c r="GS21" s="63"/>
      <c r="GT21" s="63"/>
      <c r="GU21" s="63"/>
      <c r="GV21" s="63"/>
      <c r="GW21" s="64"/>
      <c r="GX21" s="64"/>
      <c r="GY21" s="64"/>
      <c r="GZ21" s="64"/>
      <c r="HA21" s="64"/>
      <c r="HB21" s="64"/>
      <c r="HC21" s="64"/>
      <c r="HD21" s="63"/>
      <c r="HE21" s="63"/>
      <c r="HF21" s="63"/>
      <c r="HG21" s="63"/>
      <c r="HH21" s="63"/>
      <c r="HI21" s="63"/>
      <c r="HJ21" s="63"/>
      <c r="HK21" s="65" t="n">
        <f aca="false">COUNTIF(B21:HJ21,"A")</f>
        <v>0</v>
      </c>
      <c r="HL21" s="66" t="n">
        <f aca="false">COUNTIF(B21:HJ21,"O")</f>
        <v>0</v>
      </c>
      <c r="HM21" s="67" t="n">
        <f aca="false">COUNTIF(B21:HJ21,"D")</f>
        <v>0</v>
      </c>
      <c r="HN21" s="68" t="n">
        <f aca="false">COUNTIF(B21:HJ21,"N/A")</f>
        <v>0</v>
      </c>
      <c r="HO21" s="69" t="n">
        <f aca="false">IFERROR((HK21+HL21)/(HK21+HL21+HM21),0)</f>
        <v>0</v>
      </c>
    </row>
    <row r="22" customFormat="false" ht="15.75" hidden="false" customHeight="true" outlineLevel="0" collapsed="false">
      <c r="A22" s="62" t="n">
        <f aca="false">Roster!B22</f>
        <v>0</v>
      </c>
      <c r="B22" s="63"/>
      <c r="C22" s="63"/>
      <c r="D22" s="63"/>
      <c r="E22" s="63"/>
      <c r="F22" s="63"/>
      <c r="G22" s="63"/>
      <c r="H22" s="63"/>
      <c r="I22" s="64"/>
      <c r="J22" s="64"/>
      <c r="K22" s="64"/>
      <c r="L22" s="64"/>
      <c r="M22" s="64"/>
      <c r="N22" s="64"/>
      <c r="O22" s="64"/>
      <c r="P22" s="63"/>
      <c r="Q22" s="63"/>
      <c r="R22" s="63"/>
      <c r="S22" s="63"/>
      <c r="T22" s="63"/>
      <c r="U22" s="63"/>
      <c r="V22" s="63"/>
      <c r="W22" s="64"/>
      <c r="X22" s="64"/>
      <c r="Y22" s="64"/>
      <c r="Z22" s="64"/>
      <c r="AA22" s="64"/>
      <c r="AB22" s="64"/>
      <c r="AC22" s="64"/>
      <c r="AD22" s="63"/>
      <c r="AE22" s="63"/>
      <c r="AF22" s="63"/>
      <c r="AG22" s="63"/>
      <c r="AH22" s="63"/>
      <c r="AI22" s="63"/>
      <c r="AJ22" s="63"/>
      <c r="AK22" s="64"/>
      <c r="AL22" s="64"/>
      <c r="AM22" s="64"/>
      <c r="AN22" s="64"/>
      <c r="AO22" s="64"/>
      <c r="AP22" s="64"/>
      <c r="AQ22" s="64"/>
      <c r="AR22" s="63"/>
      <c r="AS22" s="63"/>
      <c r="AT22" s="63"/>
      <c r="AU22" s="63"/>
      <c r="AV22" s="63"/>
      <c r="AW22" s="63"/>
      <c r="AX22" s="63"/>
      <c r="AY22" s="64"/>
      <c r="AZ22" s="64"/>
      <c r="BA22" s="64"/>
      <c r="BB22" s="64"/>
      <c r="BC22" s="64"/>
      <c r="BD22" s="64"/>
      <c r="BE22" s="64"/>
      <c r="BF22" s="63"/>
      <c r="BG22" s="63"/>
      <c r="BH22" s="63"/>
      <c r="BI22" s="63"/>
      <c r="BJ22" s="63"/>
      <c r="BK22" s="63"/>
      <c r="BL22" s="63"/>
      <c r="BM22" s="64"/>
      <c r="BN22" s="64"/>
      <c r="BO22" s="64"/>
      <c r="BP22" s="64"/>
      <c r="BQ22" s="64"/>
      <c r="BR22" s="64"/>
      <c r="BS22" s="64"/>
      <c r="BT22" s="63"/>
      <c r="BU22" s="63"/>
      <c r="BV22" s="63"/>
      <c r="BW22" s="63"/>
      <c r="BX22" s="63"/>
      <c r="BY22" s="63"/>
      <c r="BZ22" s="63"/>
      <c r="CA22" s="64"/>
      <c r="CB22" s="64"/>
      <c r="CC22" s="64"/>
      <c r="CD22" s="64"/>
      <c r="CE22" s="64"/>
      <c r="CF22" s="64"/>
      <c r="CG22" s="64"/>
      <c r="CH22" s="63"/>
      <c r="CI22" s="63"/>
      <c r="CJ22" s="63"/>
      <c r="CK22" s="63"/>
      <c r="CL22" s="63"/>
      <c r="CM22" s="63"/>
      <c r="CN22" s="63"/>
      <c r="CO22" s="64"/>
      <c r="CP22" s="64"/>
      <c r="CQ22" s="64"/>
      <c r="CR22" s="64"/>
      <c r="CS22" s="64"/>
      <c r="CT22" s="64"/>
      <c r="CU22" s="64"/>
      <c r="CV22" s="63"/>
      <c r="CW22" s="63"/>
      <c r="CX22" s="63"/>
      <c r="CY22" s="63"/>
      <c r="CZ22" s="63"/>
      <c r="DA22" s="63"/>
      <c r="DB22" s="63"/>
      <c r="DC22" s="64"/>
      <c r="DD22" s="64"/>
      <c r="DE22" s="64"/>
      <c r="DF22" s="64"/>
      <c r="DG22" s="64"/>
      <c r="DH22" s="64"/>
      <c r="DI22" s="64"/>
      <c r="DJ22" s="63"/>
      <c r="DK22" s="63"/>
      <c r="DL22" s="63"/>
      <c r="DM22" s="63"/>
      <c r="DN22" s="63"/>
      <c r="DO22" s="63"/>
      <c r="DP22" s="63"/>
      <c r="DQ22" s="64"/>
      <c r="DR22" s="64"/>
      <c r="DS22" s="64"/>
      <c r="DT22" s="64"/>
      <c r="DU22" s="64"/>
      <c r="DV22" s="64"/>
      <c r="DW22" s="64"/>
      <c r="DX22" s="63"/>
      <c r="DY22" s="63"/>
      <c r="DZ22" s="63"/>
      <c r="EA22" s="63"/>
      <c r="EB22" s="63"/>
      <c r="EC22" s="63"/>
      <c r="ED22" s="63"/>
      <c r="EE22" s="64"/>
      <c r="EF22" s="64"/>
      <c r="EG22" s="64"/>
      <c r="EH22" s="64"/>
      <c r="EI22" s="64"/>
      <c r="EJ22" s="64"/>
      <c r="EK22" s="64"/>
      <c r="EL22" s="63"/>
      <c r="EM22" s="63"/>
      <c r="EN22" s="63"/>
      <c r="EO22" s="63"/>
      <c r="EP22" s="63"/>
      <c r="EQ22" s="63"/>
      <c r="ER22" s="63"/>
      <c r="ES22" s="64"/>
      <c r="ET22" s="64"/>
      <c r="EU22" s="64"/>
      <c r="EV22" s="64"/>
      <c r="EW22" s="64"/>
      <c r="EX22" s="64"/>
      <c r="EY22" s="64"/>
      <c r="EZ22" s="63"/>
      <c r="FA22" s="63"/>
      <c r="FB22" s="63"/>
      <c r="FC22" s="63"/>
      <c r="FD22" s="63"/>
      <c r="FE22" s="63"/>
      <c r="FF22" s="63"/>
      <c r="FG22" s="64"/>
      <c r="FH22" s="64"/>
      <c r="FI22" s="64"/>
      <c r="FJ22" s="64"/>
      <c r="FK22" s="64"/>
      <c r="FL22" s="64"/>
      <c r="FM22" s="64"/>
      <c r="FN22" s="63"/>
      <c r="FO22" s="63"/>
      <c r="FP22" s="63"/>
      <c r="FQ22" s="63"/>
      <c r="FR22" s="63"/>
      <c r="FS22" s="63"/>
      <c r="FT22" s="63"/>
      <c r="FU22" s="64"/>
      <c r="FV22" s="64"/>
      <c r="FW22" s="64"/>
      <c r="FX22" s="64"/>
      <c r="FY22" s="64"/>
      <c r="FZ22" s="64"/>
      <c r="GA22" s="64"/>
      <c r="GB22" s="63"/>
      <c r="GC22" s="63"/>
      <c r="GD22" s="63"/>
      <c r="GE22" s="63"/>
      <c r="GF22" s="63"/>
      <c r="GG22" s="63"/>
      <c r="GH22" s="63"/>
      <c r="GI22" s="64"/>
      <c r="GJ22" s="64"/>
      <c r="GK22" s="64"/>
      <c r="GL22" s="64"/>
      <c r="GM22" s="64"/>
      <c r="GN22" s="64"/>
      <c r="GO22" s="64"/>
      <c r="GP22" s="63"/>
      <c r="GQ22" s="63"/>
      <c r="GR22" s="63"/>
      <c r="GS22" s="63"/>
      <c r="GT22" s="63"/>
      <c r="GU22" s="63"/>
      <c r="GV22" s="63"/>
      <c r="GW22" s="64"/>
      <c r="GX22" s="64"/>
      <c r="GY22" s="64"/>
      <c r="GZ22" s="64"/>
      <c r="HA22" s="64"/>
      <c r="HB22" s="64"/>
      <c r="HC22" s="64"/>
      <c r="HD22" s="63"/>
      <c r="HE22" s="63"/>
      <c r="HF22" s="63"/>
      <c r="HG22" s="63"/>
      <c r="HH22" s="63"/>
      <c r="HI22" s="63"/>
      <c r="HJ22" s="63"/>
      <c r="HK22" s="65" t="n">
        <f aca="false">COUNTIF(B22:HJ22,"A")</f>
        <v>0</v>
      </c>
      <c r="HL22" s="66" t="n">
        <f aca="false">COUNTIF(B22:HJ22,"O")</f>
        <v>0</v>
      </c>
      <c r="HM22" s="67" t="n">
        <f aca="false">COUNTIF(B22:HJ22,"D")</f>
        <v>0</v>
      </c>
      <c r="HN22" s="68" t="n">
        <f aca="false">COUNTIF(B22:HJ22,"N/A")</f>
        <v>0</v>
      </c>
      <c r="HO22" s="69" t="n">
        <f aca="false">IFERROR((HK22+HL22)/(HK22+HL22+HM22),0)</f>
        <v>0</v>
      </c>
    </row>
    <row r="23" customFormat="false" ht="15.75" hidden="false" customHeight="true" outlineLevel="0" collapsed="false">
      <c r="A23" s="62" t="n">
        <f aca="false">Roster!B23</f>
        <v>0</v>
      </c>
      <c r="B23" s="63"/>
      <c r="C23" s="63"/>
      <c r="D23" s="63"/>
      <c r="E23" s="63"/>
      <c r="F23" s="63"/>
      <c r="G23" s="63"/>
      <c r="H23" s="63"/>
      <c r="I23" s="64"/>
      <c r="J23" s="64"/>
      <c r="K23" s="64"/>
      <c r="L23" s="64"/>
      <c r="M23" s="64"/>
      <c r="N23" s="64"/>
      <c r="O23" s="64"/>
      <c r="P23" s="63"/>
      <c r="Q23" s="63"/>
      <c r="R23" s="63"/>
      <c r="S23" s="63"/>
      <c r="T23" s="63"/>
      <c r="U23" s="63"/>
      <c r="V23" s="63"/>
      <c r="W23" s="64"/>
      <c r="X23" s="64"/>
      <c r="Y23" s="64"/>
      <c r="Z23" s="64"/>
      <c r="AA23" s="64"/>
      <c r="AB23" s="64"/>
      <c r="AC23" s="64"/>
      <c r="AD23" s="63"/>
      <c r="AE23" s="63"/>
      <c r="AF23" s="63"/>
      <c r="AG23" s="63"/>
      <c r="AH23" s="63"/>
      <c r="AI23" s="63"/>
      <c r="AJ23" s="63"/>
      <c r="AK23" s="64"/>
      <c r="AL23" s="64"/>
      <c r="AM23" s="64"/>
      <c r="AN23" s="64"/>
      <c r="AO23" s="64"/>
      <c r="AP23" s="64"/>
      <c r="AQ23" s="64"/>
      <c r="AR23" s="63"/>
      <c r="AS23" s="63"/>
      <c r="AT23" s="63"/>
      <c r="AU23" s="63"/>
      <c r="AV23" s="63"/>
      <c r="AW23" s="63"/>
      <c r="AX23" s="63"/>
      <c r="AY23" s="64"/>
      <c r="AZ23" s="64"/>
      <c r="BA23" s="64"/>
      <c r="BB23" s="64"/>
      <c r="BC23" s="64"/>
      <c r="BD23" s="64"/>
      <c r="BE23" s="64"/>
      <c r="BF23" s="63"/>
      <c r="BG23" s="63"/>
      <c r="BH23" s="63"/>
      <c r="BI23" s="63"/>
      <c r="BJ23" s="63"/>
      <c r="BK23" s="63"/>
      <c r="BL23" s="63"/>
      <c r="BM23" s="64"/>
      <c r="BN23" s="64"/>
      <c r="BO23" s="64"/>
      <c r="BP23" s="64"/>
      <c r="BQ23" s="64"/>
      <c r="BR23" s="64"/>
      <c r="BS23" s="64"/>
      <c r="BT23" s="63"/>
      <c r="BU23" s="63"/>
      <c r="BV23" s="63"/>
      <c r="BW23" s="63"/>
      <c r="BX23" s="63"/>
      <c r="BY23" s="63"/>
      <c r="BZ23" s="63"/>
      <c r="CA23" s="64"/>
      <c r="CB23" s="64"/>
      <c r="CC23" s="64"/>
      <c r="CD23" s="64"/>
      <c r="CE23" s="64"/>
      <c r="CF23" s="64"/>
      <c r="CG23" s="64"/>
      <c r="CH23" s="63"/>
      <c r="CI23" s="63"/>
      <c r="CJ23" s="63"/>
      <c r="CK23" s="63"/>
      <c r="CL23" s="63"/>
      <c r="CM23" s="63"/>
      <c r="CN23" s="63"/>
      <c r="CO23" s="64"/>
      <c r="CP23" s="64"/>
      <c r="CQ23" s="64"/>
      <c r="CR23" s="64"/>
      <c r="CS23" s="64"/>
      <c r="CT23" s="64"/>
      <c r="CU23" s="64"/>
      <c r="CV23" s="63"/>
      <c r="CW23" s="63"/>
      <c r="CX23" s="63"/>
      <c r="CY23" s="63"/>
      <c r="CZ23" s="63"/>
      <c r="DA23" s="63"/>
      <c r="DB23" s="63"/>
      <c r="DC23" s="64"/>
      <c r="DD23" s="64"/>
      <c r="DE23" s="64"/>
      <c r="DF23" s="64"/>
      <c r="DG23" s="64"/>
      <c r="DH23" s="64"/>
      <c r="DI23" s="64"/>
      <c r="DJ23" s="63"/>
      <c r="DK23" s="63"/>
      <c r="DL23" s="63"/>
      <c r="DM23" s="63"/>
      <c r="DN23" s="63"/>
      <c r="DO23" s="63"/>
      <c r="DP23" s="63"/>
      <c r="DQ23" s="64"/>
      <c r="DR23" s="64"/>
      <c r="DS23" s="64"/>
      <c r="DT23" s="64"/>
      <c r="DU23" s="64"/>
      <c r="DV23" s="64"/>
      <c r="DW23" s="64"/>
      <c r="DX23" s="63"/>
      <c r="DY23" s="63"/>
      <c r="DZ23" s="63"/>
      <c r="EA23" s="63"/>
      <c r="EB23" s="63"/>
      <c r="EC23" s="63"/>
      <c r="ED23" s="63"/>
      <c r="EE23" s="64"/>
      <c r="EF23" s="64"/>
      <c r="EG23" s="64"/>
      <c r="EH23" s="64"/>
      <c r="EI23" s="64"/>
      <c r="EJ23" s="64"/>
      <c r="EK23" s="64"/>
      <c r="EL23" s="63"/>
      <c r="EM23" s="63"/>
      <c r="EN23" s="63"/>
      <c r="EO23" s="63"/>
      <c r="EP23" s="63"/>
      <c r="EQ23" s="63"/>
      <c r="ER23" s="63"/>
      <c r="ES23" s="64"/>
      <c r="ET23" s="64"/>
      <c r="EU23" s="64"/>
      <c r="EV23" s="64"/>
      <c r="EW23" s="64"/>
      <c r="EX23" s="64"/>
      <c r="EY23" s="64"/>
      <c r="EZ23" s="63"/>
      <c r="FA23" s="63"/>
      <c r="FB23" s="63"/>
      <c r="FC23" s="63"/>
      <c r="FD23" s="63"/>
      <c r="FE23" s="63"/>
      <c r="FF23" s="63"/>
      <c r="FG23" s="64"/>
      <c r="FH23" s="64"/>
      <c r="FI23" s="64"/>
      <c r="FJ23" s="64"/>
      <c r="FK23" s="64"/>
      <c r="FL23" s="64"/>
      <c r="FM23" s="64"/>
      <c r="FN23" s="63"/>
      <c r="FO23" s="63"/>
      <c r="FP23" s="63"/>
      <c r="FQ23" s="63"/>
      <c r="FR23" s="63"/>
      <c r="FS23" s="63"/>
      <c r="FT23" s="63"/>
      <c r="FU23" s="64"/>
      <c r="FV23" s="64"/>
      <c r="FW23" s="64"/>
      <c r="FX23" s="64"/>
      <c r="FY23" s="64"/>
      <c r="FZ23" s="64"/>
      <c r="GA23" s="64"/>
      <c r="GB23" s="63"/>
      <c r="GC23" s="63"/>
      <c r="GD23" s="63"/>
      <c r="GE23" s="63"/>
      <c r="GF23" s="63"/>
      <c r="GG23" s="63"/>
      <c r="GH23" s="63"/>
      <c r="GI23" s="64"/>
      <c r="GJ23" s="64"/>
      <c r="GK23" s="64"/>
      <c r="GL23" s="64"/>
      <c r="GM23" s="64"/>
      <c r="GN23" s="64"/>
      <c r="GO23" s="64"/>
      <c r="GP23" s="63"/>
      <c r="GQ23" s="63"/>
      <c r="GR23" s="63"/>
      <c r="GS23" s="63"/>
      <c r="GT23" s="63"/>
      <c r="GU23" s="63"/>
      <c r="GV23" s="63"/>
      <c r="GW23" s="64"/>
      <c r="GX23" s="64"/>
      <c r="GY23" s="64"/>
      <c r="GZ23" s="64"/>
      <c r="HA23" s="64"/>
      <c r="HB23" s="64"/>
      <c r="HC23" s="64"/>
      <c r="HD23" s="63"/>
      <c r="HE23" s="63"/>
      <c r="HF23" s="63"/>
      <c r="HG23" s="63"/>
      <c r="HH23" s="63"/>
      <c r="HI23" s="63"/>
      <c r="HJ23" s="63"/>
      <c r="HK23" s="65" t="n">
        <f aca="false">COUNTIF(B23:HJ23,"A")</f>
        <v>0</v>
      </c>
      <c r="HL23" s="66" t="n">
        <f aca="false">COUNTIF(B23:HJ23,"O")</f>
        <v>0</v>
      </c>
      <c r="HM23" s="67" t="n">
        <f aca="false">COUNTIF(B23:HJ23,"D")</f>
        <v>0</v>
      </c>
      <c r="HN23" s="68" t="n">
        <f aca="false">COUNTIF(B23:HJ23,"N/A")</f>
        <v>0</v>
      </c>
      <c r="HO23" s="69" t="n">
        <f aca="false">IFERROR((HK23+HL23)/(HK23+HL23+HM23),0)</f>
        <v>0</v>
      </c>
    </row>
    <row r="24" customFormat="false" ht="15.75" hidden="false" customHeight="true" outlineLevel="0" collapsed="false">
      <c r="A24" s="62" t="n">
        <f aca="false">Roster!B24</f>
        <v>0</v>
      </c>
      <c r="B24" s="63"/>
      <c r="C24" s="63"/>
      <c r="D24" s="63"/>
      <c r="E24" s="63"/>
      <c r="F24" s="63"/>
      <c r="G24" s="63"/>
      <c r="H24" s="63"/>
      <c r="I24" s="64"/>
      <c r="J24" s="64"/>
      <c r="K24" s="64"/>
      <c r="L24" s="64"/>
      <c r="M24" s="64"/>
      <c r="N24" s="64"/>
      <c r="O24" s="64"/>
      <c r="P24" s="63"/>
      <c r="Q24" s="63"/>
      <c r="R24" s="63"/>
      <c r="S24" s="63"/>
      <c r="T24" s="63"/>
      <c r="U24" s="63"/>
      <c r="V24" s="63"/>
      <c r="W24" s="64"/>
      <c r="X24" s="64"/>
      <c r="Y24" s="64"/>
      <c r="Z24" s="64"/>
      <c r="AA24" s="64"/>
      <c r="AB24" s="64"/>
      <c r="AC24" s="64"/>
      <c r="AD24" s="63"/>
      <c r="AE24" s="63"/>
      <c r="AF24" s="63"/>
      <c r="AG24" s="63"/>
      <c r="AH24" s="63"/>
      <c r="AI24" s="63"/>
      <c r="AJ24" s="63"/>
      <c r="AK24" s="64"/>
      <c r="AL24" s="64"/>
      <c r="AM24" s="64"/>
      <c r="AN24" s="64"/>
      <c r="AO24" s="64"/>
      <c r="AP24" s="64"/>
      <c r="AQ24" s="64"/>
      <c r="AR24" s="63"/>
      <c r="AS24" s="63"/>
      <c r="AT24" s="63"/>
      <c r="AU24" s="63"/>
      <c r="AV24" s="63"/>
      <c r="AW24" s="63"/>
      <c r="AX24" s="63"/>
      <c r="AY24" s="64"/>
      <c r="AZ24" s="64"/>
      <c r="BA24" s="64"/>
      <c r="BB24" s="64"/>
      <c r="BC24" s="64"/>
      <c r="BD24" s="64"/>
      <c r="BE24" s="64"/>
      <c r="BF24" s="63"/>
      <c r="BG24" s="63"/>
      <c r="BH24" s="63"/>
      <c r="BI24" s="63"/>
      <c r="BJ24" s="63"/>
      <c r="BK24" s="63"/>
      <c r="BL24" s="63"/>
      <c r="BM24" s="64"/>
      <c r="BN24" s="64"/>
      <c r="BO24" s="64"/>
      <c r="BP24" s="64"/>
      <c r="BQ24" s="64"/>
      <c r="BR24" s="64"/>
      <c r="BS24" s="64"/>
      <c r="BT24" s="63"/>
      <c r="BU24" s="63"/>
      <c r="BV24" s="63"/>
      <c r="BW24" s="63"/>
      <c r="BX24" s="63"/>
      <c r="BY24" s="63"/>
      <c r="BZ24" s="63"/>
      <c r="CA24" s="64"/>
      <c r="CB24" s="64"/>
      <c r="CC24" s="64"/>
      <c r="CD24" s="64"/>
      <c r="CE24" s="64"/>
      <c r="CF24" s="64"/>
      <c r="CG24" s="64"/>
      <c r="CH24" s="63"/>
      <c r="CI24" s="63"/>
      <c r="CJ24" s="63"/>
      <c r="CK24" s="63"/>
      <c r="CL24" s="63"/>
      <c r="CM24" s="63"/>
      <c r="CN24" s="63"/>
      <c r="CO24" s="64"/>
      <c r="CP24" s="64"/>
      <c r="CQ24" s="64"/>
      <c r="CR24" s="64"/>
      <c r="CS24" s="64"/>
      <c r="CT24" s="64"/>
      <c r="CU24" s="64"/>
      <c r="CV24" s="63"/>
      <c r="CW24" s="63"/>
      <c r="CX24" s="63"/>
      <c r="CY24" s="63"/>
      <c r="CZ24" s="63"/>
      <c r="DA24" s="63"/>
      <c r="DB24" s="63"/>
      <c r="DC24" s="64"/>
      <c r="DD24" s="64"/>
      <c r="DE24" s="64"/>
      <c r="DF24" s="64"/>
      <c r="DG24" s="64"/>
      <c r="DH24" s="64"/>
      <c r="DI24" s="64"/>
      <c r="DJ24" s="63"/>
      <c r="DK24" s="63"/>
      <c r="DL24" s="63"/>
      <c r="DM24" s="63"/>
      <c r="DN24" s="63"/>
      <c r="DO24" s="63"/>
      <c r="DP24" s="63"/>
      <c r="DQ24" s="64"/>
      <c r="DR24" s="64"/>
      <c r="DS24" s="64"/>
      <c r="DT24" s="64"/>
      <c r="DU24" s="64"/>
      <c r="DV24" s="64"/>
      <c r="DW24" s="64"/>
      <c r="DX24" s="63"/>
      <c r="DY24" s="63"/>
      <c r="DZ24" s="63"/>
      <c r="EA24" s="63"/>
      <c r="EB24" s="63"/>
      <c r="EC24" s="63"/>
      <c r="ED24" s="63"/>
      <c r="EE24" s="64"/>
      <c r="EF24" s="64"/>
      <c r="EG24" s="64"/>
      <c r="EH24" s="64"/>
      <c r="EI24" s="64"/>
      <c r="EJ24" s="64"/>
      <c r="EK24" s="64"/>
      <c r="EL24" s="63"/>
      <c r="EM24" s="63"/>
      <c r="EN24" s="63"/>
      <c r="EO24" s="63"/>
      <c r="EP24" s="63"/>
      <c r="EQ24" s="63"/>
      <c r="ER24" s="63"/>
      <c r="ES24" s="64"/>
      <c r="ET24" s="64"/>
      <c r="EU24" s="64"/>
      <c r="EV24" s="64"/>
      <c r="EW24" s="64"/>
      <c r="EX24" s="64"/>
      <c r="EY24" s="64"/>
      <c r="EZ24" s="63"/>
      <c r="FA24" s="63"/>
      <c r="FB24" s="63"/>
      <c r="FC24" s="63"/>
      <c r="FD24" s="63"/>
      <c r="FE24" s="63"/>
      <c r="FF24" s="63"/>
      <c r="FG24" s="64"/>
      <c r="FH24" s="64"/>
      <c r="FI24" s="64"/>
      <c r="FJ24" s="64"/>
      <c r="FK24" s="64"/>
      <c r="FL24" s="64"/>
      <c r="FM24" s="64"/>
      <c r="FN24" s="63"/>
      <c r="FO24" s="63"/>
      <c r="FP24" s="63"/>
      <c r="FQ24" s="63"/>
      <c r="FR24" s="63"/>
      <c r="FS24" s="63"/>
      <c r="FT24" s="63"/>
      <c r="FU24" s="64"/>
      <c r="FV24" s="64"/>
      <c r="FW24" s="64"/>
      <c r="FX24" s="64"/>
      <c r="FY24" s="64"/>
      <c r="FZ24" s="64"/>
      <c r="GA24" s="64"/>
      <c r="GB24" s="63"/>
      <c r="GC24" s="63"/>
      <c r="GD24" s="63"/>
      <c r="GE24" s="63"/>
      <c r="GF24" s="63"/>
      <c r="GG24" s="63"/>
      <c r="GH24" s="63"/>
      <c r="GI24" s="64"/>
      <c r="GJ24" s="64"/>
      <c r="GK24" s="64"/>
      <c r="GL24" s="64"/>
      <c r="GM24" s="64"/>
      <c r="GN24" s="64"/>
      <c r="GO24" s="64"/>
      <c r="GP24" s="63"/>
      <c r="GQ24" s="63"/>
      <c r="GR24" s="63"/>
      <c r="GS24" s="63"/>
      <c r="GT24" s="63"/>
      <c r="GU24" s="63"/>
      <c r="GV24" s="63"/>
      <c r="GW24" s="64"/>
      <c r="GX24" s="64"/>
      <c r="GY24" s="64"/>
      <c r="GZ24" s="64"/>
      <c r="HA24" s="64"/>
      <c r="HB24" s="64"/>
      <c r="HC24" s="64"/>
      <c r="HD24" s="63"/>
      <c r="HE24" s="63"/>
      <c r="HF24" s="63"/>
      <c r="HG24" s="63"/>
      <c r="HH24" s="63"/>
      <c r="HI24" s="63"/>
      <c r="HJ24" s="63"/>
      <c r="HK24" s="65" t="n">
        <f aca="false">COUNTIF(B24:HJ24,"A")</f>
        <v>0</v>
      </c>
      <c r="HL24" s="66" t="n">
        <f aca="false">COUNTIF(B24:HJ24,"O")</f>
        <v>0</v>
      </c>
      <c r="HM24" s="67" t="n">
        <f aca="false">COUNTIF(B24:HJ24,"D")</f>
        <v>0</v>
      </c>
      <c r="HN24" s="68" t="n">
        <f aca="false">COUNTIF(B24:HJ24,"N/A")</f>
        <v>0</v>
      </c>
      <c r="HO24" s="69" t="n">
        <f aca="false">IFERROR((HK24+HL24)/(HK24+HL24+HM24),0)</f>
        <v>0</v>
      </c>
    </row>
    <row r="25" customFormat="false" ht="15.75" hidden="false" customHeight="true" outlineLevel="0" collapsed="false">
      <c r="A25" s="62" t="n">
        <f aca="false">Roster!B25</f>
        <v>0</v>
      </c>
      <c r="B25" s="63"/>
      <c r="C25" s="63"/>
      <c r="D25" s="63"/>
      <c r="E25" s="63"/>
      <c r="F25" s="63"/>
      <c r="G25" s="63"/>
      <c r="H25" s="63"/>
      <c r="I25" s="64"/>
      <c r="J25" s="64"/>
      <c r="K25" s="64"/>
      <c r="L25" s="64"/>
      <c r="M25" s="64"/>
      <c r="N25" s="64"/>
      <c r="O25" s="64"/>
      <c r="P25" s="63"/>
      <c r="Q25" s="63"/>
      <c r="R25" s="63"/>
      <c r="S25" s="63"/>
      <c r="T25" s="63"/>
      <c r="U25" s="63"/>
      <c r="V25" s="63"/>
      <c r="W25" s="64"/>
      <c r="X25" s="64"/>
      <c r="Y25" s="64"/>
      <c r="Z25" s="64"/>
      <c r="AA25" s="64"/>
      <c r="AB25" s="64"/>
      <c r="AC25" s="64"/>
      <c r="AD25" s="63"/>
      <c r="AE25" s="63"/>
      <c r="AF25" s="63"/>
      <c r="AG25" s="63"/>
      <c r="AH25" s="63"/>
      <c r="AI25" s="63"/>
      <c r="AJ25" s="63"/>
      <c r="AK25" s="64"/>
      <c r="AL25" s="64"/>
      <c r="AM25" s="64"/>
      <c r="AN25" s="64"/>
      <c r="AO25" s="64"/>
      <c r="AP25" s="64"/>
      <c r="AQ25" s="64"/>
      <c r="AR25" s="63"/>
      <c r="AS25" s="63"/>
      <c r="AT25" s="63"/>
      <c r="AU25" s="63"/>
      <c r="AV25" s="63"/>
      <c r="AW25" s="63"/>
      <c r="AX25" s="63"/>
      <c r="AY25" s="64"/>
      <c r="AZ25" s="64"/>
      <c r="BA25" s="64"/>
      <c r="BB25" s="64"/>
      <c r="BC25" s="64"/>
      <c r="BD25" s="64"/>
      <c r="BE25" s="64"/>
      <c r="BF25" s="63"/>
      <c r="BG25" s="63"/>
      <c r="BH25" s="63"/>
      <c r="BI25" s="63"/>
      <c r="BJ25" s="63"/>
      <c r="BK25" s="63"/>
      <c r="BL25" s="63"/>
      <c r="BM25" s="64"/>
      <c r="BN25" s="64"/>
      <c r="BO25" s="64"/>
      <c r="BP25" s="64"/>
      <c r="BQ25" s="64"/>
      <c r="BR25" s="64"/>
      <c r="BS25" s="64"/>
      <c r="BT25" s="63"/>
      <c r="BU25" s="63"/>
      <c r="BV25" s="63"/>
      <c r="BW25" s="63"/>
      <c r="BX25" s="63"/>
      <c r="BY25" s="63"/>
      <c r="BZ25" s="63"/>
      <c r="CA25" s="64"/>
      <c r="CB25" s="64"/>
      <c r="CC25" s="64"/>
      <c r="CD25" s="64"/>
      <c r="CE25" s="64"/>
      <c r="CF25" s="64"/>
      <c r="CG25" s="64"/>
      <c r="CH25" s="63"/>
      <c r="CI25" s="63"/>
      <c r="CJ25" s="63"/>
      <c r="CK25" s="63"/>
      <c r="CL25" s="63"/>
      <c r="CM25" s="63"/>
      <c r="CN25" s="63"/>
      <c r="CO25" s="64"/>
      <c r="CP25" s="64"/>
      <c r="CQ25" s="64"/>
      <c r="CR25" s="64"/>
      <c r="CS25" s="64"/>
      <c r="CT25" s="64"/>
      <c r="CU25" s="64"/>
      <c r="CV25" s="63"/>
      <c r="CW25" s="63"/>
      <c r="CX25" s="63"/>
      <c r="CY25" s="63"/>
      <c r="CZ25" s="63"/>
      <c r="DA25" s="63"/>
      <c r="DB25" s="63"/>
      <c r="DC25" s="64"/>
      <c r="DD25" s="64"/>
      <c r="DE25" s="64"/>
      <c r="DF25" s="64"/>
      <c r="DG25" s="64"/>
      <c r="DH25" s="64"/>
      <c r="DI25" s="64"/>
      <c r="DJ25" s="63"/>
      <c r="DK25" s="63"/>
      <c r="DL25" s="63"/>
      <c r="DM25" s="63"/>
      <c r="DN25" s="63"/>
      <c r="DO25" s="63"/>
      <c r="DP25" s="63"/>
      <c r="DQ25" s="64"/>
      <c r="DR25" s="64"/>
      <c r="DS25" s="64"/>
      <c r="DT25" s="64"/>
      <c r="DU25" s="64"/>
      <c r="DV25" s="64"/>
      <c r="DW25" s="64"/>
      <c r="DX25" s="63"/>
      <c r="DY25" s="63"/>
      <c r="DZ25" s="63"/>
      <c r="EA25" s="63"/>
      <c r="EB25" s="63"/>
      <c r="EC25" s="63"/>
      <c r="ED25" s="63"/>
      <c r="EE25" s="64"/>
      <c r="EF25" s="64"/>
      <c r="EG25" s="64"/>
      <c r="EH25" s="64"/>
      <c r="EI25" s="64"/>
      <c r="EJ25" s="64"/>
      <c r="EK25" s="64"/>
      <c r="EL25" s="63"/>
      <c r="EM25" s="63"/>
      <c r="EN25" s="63"/>
      <c r="EO25" s="63"/>
      <c r="EP25" s="63"/>
      <c r="EQ25" s="63"/>
      <c r="ER25" s="63"/>
      <c r="ES25" s="64"/>
      <c r="ET25" s="64"/>
      <c r="EU25" s="64"/>
      <c r="EV25" s="64"/>
      <c r="EW25" s="64"/>
      <c r="EX25" s="64"/>
      <c r="EY25" s="64"/>
      <c r="EZ25" s="63"/>
      <c r="FA25" s="63"/>
      <c r="FB25" s="63"/>
      <c r="FC25" s="63"/>
      <c r="FD25" s="63"/>
      <c r="FE25" s="63"/>
      <c r="FF25" s="63"/>
      <c r="FG25" s="64"/>
      <c r="FH25" s="64"/>
      <c r="FI25" s="64"/>
      <c r="FJ25" s="64"/>
      <c r="FK25" s="64"/>
      <c r="FL25" s="64"/>
      <c r="FM25" s="64"/>
      <c r="FN25" s="63"/>
      <c r="FO25" s="63"/>
      <c r="FP25" s="63"/>
      <c r="FQ25" s="63"/>
      <c r="FR25" s="63"/>
      <c r="FS25" s="63"/>
      <c r="FT25" s="63"/>
      <c r="FU25" s="64"/>
      <c r="FV25" s="64"/>
      <c r="FW25" s="64"/>
      <c r="FX25" s="64"/>
      <c r="FY25" s="64"/>
      <c r="FZ25" s="64"/>
      <c r="GA25" s="64"/>
      <c r="GB25" s="63"/>
      <c r="GC25" s="63"/>
      <c r="GD25" s="63"/>
      <c r="GE25" s="63"/>
      <c r="GF25" s="63"/>
      <c r="GG25" s="63"/>
      <c r="GH25" s="63"/>
      <c r="GI25" s="64"/>
      <c r="GJ25" s="64"/>
      <c r="GK25" s="64"/>
      <c r="GL25" s="64"/>
      <c r="GM25" s="64"/>
      <c r="GN25" s="64"/>
      <c r="GO25" s="64"/>
      <c r="GP25" s="63"/>
      <c r="GQ25" s="63"/>
      <c r="GR25" s="63"/>
      <c r="GS25" s="63"/>
      <c r="GT25" s="63"/>
      <c r="GU25" s="63"/>
      <c r="GV25" s="63"/>
      <c r="GW25" s="64"/>
      <c r="GX25" s="64"/>
      <c r="GY25" s="64"/>
      <c r="GZ25" s="64"/>
      <c r="HA25" s="64"/>
      <c r="HB25" s="64"/>
      <c r="HC25" s="64"/>
      <c r="HD25" s="63"/>
      <c r="HE25" s="63"/>
      <c r="HF25" s="63"/>
      <c r="HG25" s="63"/>
      <c r="HH25" s="63"/>
      <c r="HI25" s="63"/>
      <c r="HJ25" s="63"/>
      <c r="HK25" s="65" t="n">
        <f aca="false">COUNTIF(B25:HJ25,"A")</f>
        <v>0</v>
      </c>
      <c r="HL25" s="66" t="n">
        <f aca="false">COUNTIF(B25:HJ25,"O")</f>
        <v>0</v>
      </c>
      <c r="HM25" s="67" t="n">
        <f aca="false">COUNTIF(B25:HJ25,"D")</f>
        <v>0</v>
      </c>
      <c r="HN25" s="68" t="n">
        <f aca="false">COUNTIF(B25:HJ25,"N/A")</f>
        <v>0</v>
      </c>
      <c r="HO25" s="69" t="n">
        <f aca="false">IFERROR((HK25+HL25)/(HK25+HL25+HM25),0)</f>
        <v>0</v>
      </c>
    </row>
    <row r="26" customFormat="false" ht="15.75" hidden="false" customHeight="true" outlineLevel="0" collapsed="false">
      <c r="A26" s="62" t="n">
        <f aca="false">Roster!B26</f>
        <v>0</v>
      </c>
      <c r="B26" s="63"/>
      <c r="C26" s="63"/>
      <c r="D26" s="63"/>
      <c r="E26" s="63"/>
      <c r="F26" s="63"/>
      <c r="G26" s="63"/>
      <c r="H26" s="63"/>
      <c r="I26" s="64"/>
      <c r="J26" s="64"/>
      <c r="K26" s="64"/>
      <c r="L26" s="64"/>
      <c r="M26" s="64"/>
      <c r="N26" s="64"/>
      <c r="O26" s="64"/>
      <c r="P26" s="63"/>
      <c r="Q26" s="63"/>
      <c r="R26" s="63"/>
      <c r="S26" s="63"/>
      <c r="T26" s="63"/>
      <c r="U26" s="63"/>
      <c r="V26" s="63"/>
      <c r="W26" s="64"/>
      <c r="X26" s="64"/>
      <c r="Y26" s="64"/>
      <c r="Z26" s="64"/>
      <c r="AA26" s="64"/>
      <c r="AB26" s="64"/>
      <c r="AC26" s="64"/>
      <c r="AD26" s="63"/>
      <c r="AE26" s="63"/>
      <c r="AF26" s="63"/>
      <c r="AG26" s="63"/>
      <c r="AH26" s="63"/>
      <c r="AI26" s="63"/>
      <c r="AJ26" s="63"/>
      <c r="AK26" s="64"/>
      <c r="AL26" s="64"/>
      <c r="AM26" s="64"/>
      <c r="AN26" s="64"/>
      <c r="AO26" s="64"/>
      <c r="AP26" s="64"/>
      <c r="AQ26" s="64"/>
      <c r="AR26" s="63"/>
      <c r="AS26" s="63"/>
      <c r="AT26" s="63"/>
      <c r="AU26" s="63"/>
      <c r="AV26" s="63"/>
      <c r="AW26" s="63"/>
      <c r="AX26" s="63"/>
      <c r="AY26" s="64"/>
      <c r="AZ26" s="64"/>
      <c r="BA26" s="64"/>
      <c r="BB26" s="64"/>
      <c r="BC26" s="64"/>
      <c r="BD26" s="64"/>
      <c r="BE26" s="64"/>
      <c r="BF26" s="63"/>
      <c r="BG26" s="63"/>
      <c r="BH26" s="63"/>
      <c r="BI26" s="63"/>
      <c r="BJ26" s="63"/>
      <c r="BK26" s="63"/>
      <c r="BL26" s="63"/>
      <c r="BM26" s="64"/>
      <c r="BN26" s="64"/>
      <c r="BO26" s="64"/>
      <c r="BP26" s="64"/>
      <c r="BQ26" s="64"/>
      <c r="BR26" s="64"/>
      <c r="BS26" s="64"/>
      <c r="BT26" s="63"/>
      <c r="BU26" s="63"/>
      <c r="BV26" s="63"/>
      <c r="BW26" s="63"/>
      <c r="BX26" s="63"/>
      <c r="BY26" s="63"/>
      <c r="BZ26" s="63"/>
      <c r="CA26" s="64"/>
      <c r="CB26" s="64"/>
      <c r="CC26" s="64"/>
      <c r="CD26" s="64"/>
      <c r="CE26" s="64"/>
      <c r="CF26" s="64"/>
      <c r="CG26" s="64"/>
      <c r="CH26" s="63"/>
      <c r="CI26" s="63"/>
      <c r="CJ26" s="63"/>
      <c r="CK26" s="63"/>
      <c r="CL26" s="63"/>
      <c r="CM26" s="63"/>
      <c r="CN26" s="63"/>
      <c r="CO26" s="64"/>
      <c r="CP26" s="64"/>
      <c r="CQ26" s="64"/>
      <c r="CR26" s="64"/>
      <c r="CS26" s="64"/>
      <c r="CT26" s="64"/>
      <c r="CU26" s="64"/>
      <c r="CV26" s="63"/>
      <c r="CW26" s="63"/>
      <c r="CX26" s="63"/>
      <c r="CY26" s="63"/>
      <c r="CZ26" s="63"/>
      <c r="DA26" s="63"/>
      <c r="DB26" s="63"/>
      <c r="DC26" s="64"/>
      <c r="DD26" s="64"/>
      <c r="DE26" s="64"/>
      <c r="DF26" s="64"/>
      <c r="DG26" s="64"/>
      <c r="DH26" s="64"/>
      <c r="DI26" s="64"/>
      <c r="DJ26" s="63"/>
      <c r="DK26" s="63"/>
      <c r="DL26" s="63"/>
      <c r="DM26" s="63"/>
      <c r="DN26" s="63"/>
      <c r="DO26" s="63"/>
      <c r="DP26" s="63"/>
      <c r="DQ26" s="64"/>
      <c r="DR26" s="64"/>
      <c r="DS26" s="64"/>
      <c r="DT26" s="64"/>
      <c r="DU26" s="64"/>
      <c r="DV26" s="64"/>
      <c r="DW26" s="64"/>
      <c r="DX26" s="63"/>
      <c r="DY26" s="63"/>
      <c r="DZ26" s="63"/>
      <c r="EA26" s="63"/>
      <c r="EB26" s="63"/>
      <c r="EC26" s="63"/>
      <c r="ED26" s="63"/>
      <c r="EE26" s="64"/>
      <c r="EF26" s="64"/>
      <c r="EG26" s="64"/>
      <c r="EH26" s="64"/>
      <c r="EI26" s="64"/>
      <c r="EJ26" s="64"/>
      <c r="EK26" s="64"/>
      <c r="EL26" s="63"/>
      <c r="EM26" s="63"/>
      <c r="EN26" s="63"/>
      <c r="EO26" s="63"/>
      <c r="EP26" s="63"/>
      <c r="EQ26" s="63"/>
      <c r="ER26" s="63"/>
      <c r="ES26" s="64"/>
      <c r="ET26" s="64"/>
      <c r="EU26" s="64"/>
      <c r="EV26" s="64"/>
      <c r="EW26" s="64"/>
      <c r="EX26" s="64"/>
      <c r="EY26" s="64"/>
      <c r="EZ26" s="63"/>
      <c r="FA26" s="63"/>
      <c r="FB26" s="63"/>
      <c r="FC26" s="63"/>
      <c r="FD26" s="63"/>
      <c r="FE26" s="63"/>
      <c r="FF26" s="63"/>
      <c r="FG26" s="64"/>
      <c r="FH26" s="64"/>
      <c r="FI26" s="64"/>
      <c r="FJ26" s="64"/>
      <c r="FK26" s="64"/>
      <c r="FL26" s="64"/>
      <c r="FM26" s="64"/>
      <c r="FN26" s="63"/>
      <c r="FO26" s="63"/>
      <c r="FP26" s="63"/>
      <c r="FQ26" s="63"/>
      <c r="FR26" s="63"/>
      <c r="FS26" s="63"/>
      <c r="FT26" s="63"/>
      <c r="FU26" s="64"/>
      <c r="FV26" s="64"/>
      <c r="FW26" s="64"/>
      <c r="FX26" s="64"/>
      <c r="FY26" s="64"/>
      <c r="FZ26" s="64"/>
      <c r="GA26" s="64"/>
      <c r="GB26" s="63"/>
      <c r="GC26" s="63"/>
      <c r="GD26" s="63"/>
      <c r="GE26" s="63"/>
      <c r="GF26" s="63"/>
      <c r="GG26" s="63"/>
      <c r="GH26" s="63"/>
      <c r="GI26" s="64"/>
      <c r="GJ26" s="64"/>
      <c r="GK26" s="64"/>
      <c r="GL26" s="64"/>
      <c r="GM26" s="64"/>
      <c r="GN26" s="64"/>
      <c r="GO26" s="64"/>
      <c r="GP26" s="63"/>
      <c r="GQ26" s="63"/>
      <c r="GR26" s="63"/>
      <c r="GS26" s="63"/>
      <c r="GT26" s="63"/>
      <c r="GU26" s="63"/>
      <c r="GV26" s="63"/>
      <c r="GW26" s="64"/>
      <c r="GX26" s="64"/>
      <c r="GY26" s="64"/>
      <c r="GZ26" s="64"/>
      <c r="HA26" s="64"/>
      <c r="HB26" s="64"/>
      <c r="HC26" s="64"/>
      <c r="HD26" s="63"/>
      <c r="HE26" s="63"/>
      <c r="HF26" s="63"/>
      <c r="HG26" s="63"/>
      <c r="HH26" s="63"/>
      <c r="HI26" s="63"/>
      <c r="HJ26" s="63"/>
      <c r="HK26" s="65" t="n">
        <f aca="false">COUNTIF(B26:HJ26,"A")</f>
        <v>0</v>
      </c>
      <c r="HL26" s="66" t="n">
        <f aca="false">COUNTIF(B26:HJ26,"O")</f>
        <v>0</v>
      </c>
      <c r="HM26" s="67" t="n">
        <f aca="false">COUNTIF(B26:HJ26,"D")</f>
        <v>0</v>
      </c>
      <c r="HN26" s="68" t="n">
        <f aca="false">COUNTIF(B26:HJ26,"N/A")</f>
        <v>0</v>
      </c>
      <c r="HO26" s="69" t="n">
        <f aca="false">IFERROR((HK26+HL26)/(HK26+HL26+HM26),0)</f>
        <v>0</v>
      </c>
    </row>
    <row r="27" customFormat="false" ht="15.75" hidden="false" customHeight="true" outlineLevel="0" collapsed="false">
      <c r="A27" s="62" t="n">
        <f aca="false">Roster!B27</f>
        <v>0</v>
      </c>
      <c r="B27" s="63"/>
      <c r="C27" s="63"/>
      <c r="D27" s="63"/>
      <c r="E27" s="63"/>
      <c r="F27" s="63"/>
      <c r="G27" s="63"/>
      <c r="H27" s="63"/>
      <c r="I27" s="64"/>
      <c r="J27" s="64"/>
      <c r="K27" s="64"/>
      <c r="L27" s="64"/>
      <c r="M27" s="64"/>
      <c r="N27" s="64"/>
      <c r="O27" s="64"/>
      <c r="P27" s="63"/>
      <c r="Q27" s="63"/>
      <c r="R27" s="63"/>
      <c r="S27" s="63"/>
      <c r="T27" s="63"/>
      <c r="U27" s="63"/>
      <c r="V27" s="63"/>
      <c r="W27" s="64"/>
      <c r="X27" s="64"/>
      <c r="Y27" s="64"/>
      <c r="Z27" s="64"/>
      <c r="AA27" s="64"/>
      <c r="AB27" s="64"/>
      <c r="AC27" s="64"/>
      <c r="AD27" s="63"/>
      <c r="AE27" s="63"/>
      <c r="AF27" s="63"/>
      <c r="AG27" s="63"/>
      <c r="AH27" s="63"/>
      <c r="AI27" s="63"/>
      <c r="AJ27" s="63"/>
      <c r="AK27" s="64"/>
      <c r="AL27" s="64"/>
      <c r="AM27" s="64"/>
      <c r="AN27" s="64"/>
      <c r="AO27" s="64"/>
      <c r="AP27" s="64"/>
      <c r="AQ27" s="64"/>
      <c r="AR27" s="63"/>
      <c r="AS27" s="63"/>
      <c r="AT27" s="63"/>
      <c r="AU27" s="63"/>
      <c r="AV27" s="63"/>
      <c r="AW27" s="63"/>
      <c r="AX27" s="63"/>
      <c r="AY27" s="64"/>
      <c r="AZ27" s="64"/>
      <c r="BA27" s="64"/>
      <c r="BB27" s="64"/>
      <c r="BC27" s="64"/>
      <c r="BD27" s="64"/>
      <c r="BE27" s="64"/>
      <c r="BF27" s="63"/>
      <c r="BG27" s="63"/>
      <c r="BH27" s="63"/>
      <c r="BI27" s="63"/>
      <c r="BJ27" s="63"/>
      <c r="BK27" s="63"/>
      <c r="BL27" s="63"/>
      <c r="BM27" s="64"/>
      <c r="BN27" s="64"/>
      <c r="BO27" s="64"/>
      <c r="BP27" s="64"/>
      <c r="BQ27" s="64"/>
      <c r="BR27" s="64"/>
      <c r="BS27" s="64"/>
      <c r="BT27" s="63"/>
      <c r="BU27" s="63"/>
      <c r="BV27" s="63"/>
      <c r="BW27" s="63"/>
      <c r="BX27" s="63"/>
      <c r="BY27" s="63"/>
      <c r="BZ27" s="63"/>
      <c r="CA27" s="64"/>
      <c r="CB27" s="64"/>
      <c r="CC27" s="64"/>
      <c r="CD27" s="64"/>
      <c r="CE27" s="64"/>
      <c r="CF27" s="64"/>
      <c r="CG27" s="64"/>
      <c r="CH27" s="63"/>
      <c r="CI27" s="63"/>
      <c r="CJ27" s="63"/>
      <c r="CK27" s="63"/>
      <c r="CL27" s="63"/>
      <c r="CM27" s="63"/>
      <c r="CN27" s="63"/>
      <c r="CO27" s="64"/>
      <c r="CP27" s="64"/>
      <c r="CQ27" s="64"/>
      <c r="CR27" s="64"/>
      <c r="CS27" s="64"/>
      <c r="CT27" s="64"/>
      <c r="CU27" s="64"/>
      <c r="CV27" s="63"/>
      <c r="CW27" s="63"/>
      <c r="CX27" s="63"/>
      <c r="CY27" s="63"/>
      <c r="CZ27" s="63"/>
      <c r="DA27" s="63"/>
      <c r="DB27" s="63"/>
      <c r="DC27" s="64"/>
      <c r="DD27" s="64"/>
      <c r="DE27" s="64"/>
      <c r="DF27" s="64"/>
      <c r="DG27" s="64"/>
      <c r="DH27" s="64"/>
      <c r="DI27" s="64"/>
      <c r="DJ27" s="63"/>
      <c r="DK27" s="63"/>
      <c r="DL27" s="63"/>
      <c r="DM27" s="63"/>
      <c r="DN27" s="63"/>
      <c r="DO27" s="63"/>
      <c r="DP27" s="63"/>
      <c r="DQ27" s="64"/>
      <c r="DR27" s="64"/>
      <c r="DS27" s="64"/>
      <c r="DT27" s="64"/>
      <c r="DU27" s="64"/>
      <c r="DV27" s="64"/>
      <c r="DW27" s="64"/>
      <c r="DX27" s="63"/>
      <c r="DY27" s="63"/>
      <c r="DZ27" s="63"/>
      <c r="EA27" s="63"/>
      <c r="EB27" s="63"/>
      <c r="EC27" s="63"/>
      <c r="ED27" s="63"/>
      <c r="EE27" s="64"/>
      <c r="EF27" s="64"/>
      <c r="EG27" s="64"/>
      <c r="EH27" s="64"/>
      <c r="EI27" s="64"/>
      <c r="EJ27" s="64"/>
      <c r="EK27" s="64"/>
      <c r="EL27" s="63"/>
      <c r="EM27" s="63"/>
      <c r="EN27" s="63"/>
      <c r="EO27" s="63"/>
      <c r="EP27" s="63"/>
      <c r="EQ27" s="63"/>
      <c r="ER27" s="63"/>
      <c r="ES27" s="64"/>
      <c r="ET27" s="64"/>
      <c r="EU27" s="64"/>
      <c r="EV27" s="64"/>
      <c r="EW27" s="64"/>
      <c r="EX27" s="64"/>
      <c r="EY27" s="64"/>
      <c r="EZ27" s="63"/>
      <c r="FA27" s="63"/>
      <c r="FB27" s="63"/>
      <c r="FC27" s="63"/>
      <c r="FD27" s="63"/>
      <c r="FE27" s="63"/>
      <c r="FF27" s="63"/>
      <c r="FG27" s="64"/>
      <c r="FH27" s="64"/>
      <c r="FI27" s="64"/>
      <c r="FJ27" s="64"/>
      <c r="FK27" s="64"/>
      <c r="FL27" s="64"/>
      <c r="FM27" s="64"/>
      <c r="FN27" s="63"/>
      <c r="FO27" s="63"/>
      <c r="FP27" s="63"/>
      <c r="FQ27" s="63"/>
      <c r="FR27" s="63"/>
      <c r="FS27" s="63"/>
      <c r="FT27" s="63"/>
      <c r="FU27" s="64"/>
      <c r="FV27" s="64"/>
      <c r="FW27" s="64"/>
      <c r="FX27" s="64"/>
      <c r="FY27" s="64"/>
      <c r="FZ27" s="64"/>
      <c r="GA27" s="64"/>
      <c r="GB27" s="63"/>
      <c r="GC27" s="63"/>
      <c r="GD27" s="63"/>
      <c r="GE27" s="63"/>
      <c r="GF27" s="63"/>
      <c r="GG27" s="63"/>
      <c r="GH27" s="63"/>
      <c r="GI27" s="64"/>
      <c r="GJ27" s="64"/>
      <c r="GK27" s="64"/>
      <c r="GL27" s="64"/>
      <c r="GM27" s="64"/>
      <c r="GN27" s="64"/>
      <c r="GO27" s="64"/>
      <c r="GP27" s="63"/>
      <c r="GQ27" s="63"/>
      <c r="GR27" s="63"/>
      <c r="GS27" s="63"/>
      <c r="GT27" s="63"/>
      <c r="GU27" s="63"/>
      <c r="GV27" s="63"/>
      <c r="GW27" s="64"/>
      <c r="GX27" s="64"/>
      <c r="GY27" s="64"/>
      <c r="GZ27" s="64"/>
      <c r="HA27" s="64"/>
      <c r="HB27" s="64"/>
      <c r="HC27" s="64"/>
      <c r="HD27" s="63"/>
      <c r="HE27" s="63"/>
      <c r="HF27" s="63"/>
      <c r="HG27" s="63"/>
      <c r="HH27" s="63"/>
      <c r="HI27" s="63"/>
      <c r="HJ27" s="63"/>
      <c r="HK27" s="65" t="n">
        <f aca="false">COUNTIF(B27:HJ27,"A")</f>
        <v>0</v>
      </c>
      <c r="HL27" s="66" t="n">
        <f aca="false">COUNTIF(B27:HJ27,"O")</f>
        <v>0</v>
      </c>
      <c r="HM27" s="67" t="n">
        <f aca="false">COUNTIF(B27:HJ27,"D")</f>
        <v>0</v>
      </c>
      <c r="HN27" s="68" t="n">
        <f aca="false">COUNTIF(B27:HJ27,"N/A")</f>
        <v>0</v>
      </c>
      <c r="HO27" s="69" t="n">
        <f aca="false">IFERROR((HK27+HL27)/(HK27+HL27+HM27),0)</f>
        <v>0</v>
      </c>
    </row>
    <row r="28" customFormat="false" ht="15.75" hidden="false" customHeight="true" outlineLevel="0" collapsed="false">
      <c r="A28" s="62" t="n">
        <f aca="false">Roster!B28</f>
        <v>0</v>
      </c>
      <c r="B28" s="63"/>
      <c r="C28" s="63"/>
      <c r="D28" s="63"/>
      <c r="E28" s="63"/>
      <c r="F28" s="63"/>
      <c r="G28" s="63"/>
      <c r="H28" s="63"/>
      <c r="I28" s="64"/>
      <c r="J28" s="64"/>
      <c r="K28" s="64"/>
      <c r="L28" s="64"/>
      <c r="M28" s="64"/>
      <c r="N28" s="64"/>
      <c r="O28" s="64"/>
      <c r="P28" s="63"/>
      <c r="Q28" s="63"/>
      <c r="R28" s="63"/>
      <c r="S28" s="63"/>
      <c r="T28" s="63"/>
      <c r="U28" s="63"/>
      <c r="V28" s="63"/>
      <c r="W28" s="64"/>
      <c r="X28" s="64"/>
      <c r="Y28" s="64"/>
      <c r="Z28" s="64"/>
      <c r="AA28" s="64"/>
      <c r="AB28" s="64"/>
      <c r="AC28" s="64"/>
      <c r="AD28" s="63"/>
      <c r="AE28" s="63"/>
      <c r="AF28" s="63"/>
      <c r="AG28" s="63"/>
      <c r="AH28" s="63"/>
      <c r="AI28" s="63"/>
      <c r="AJ28" s="63"/>
      <c r="AK28" s="64"/>
      <c r="AL28" s="64"/>
      <c r="AM28" s="64"/>
      <c r="AN28" s="64"/>
      <c r="AO28" s="64"/>
      <c r="AP28" s="64"/>
      <c r="AQ28" s="64"/>
      <c r="AR28" s="63"/>
      <c r="AS28" s="63"/>
      <c r="AT28" s="63"/>
      <c r="AU28" s="63"/>
      <c r="AV28" s="63"/>
      <c r="AW28" s="63"/>
      <c r="AX28" s="63"/>
      <c r="AY28" s="64"/>
      <c r="AZ28" s="64"/>
      <c r="BA28" s="64"/>
      <c r="BB28" s="64"/>
      <c r="BC28" s="64"/>
      <c r="BD28" s="64"/>
      <c r="BE28" s="64"/>
      <c r="BF28" s="63"/>
      <c r="BG28" s="63"/>
      <c r="BH28" s="63"/>
      <c r="BI28" s="63"/>
      <c r="BJ28" s="63"/>
      <c r="BK28" s="63"/>
      <c r="BL28" s="63"/>
      <c r="BM28" s="64"/>
      <c r="BN28" s="64"/>
      <c r="BO28" s="64"/>
      <c r="BP28" s="64"/>
      <c r="BQ28" s="64"/>
      <c r="BR28" s="64"/>
      <c r="BS28" s="64"/>
      <c r="BT28" s="63"/>
      <c r="BU28" s="63"/>
      <c r="BV28" s="63"/>
      <c r="BW28" s="63"/>
      <c r="BX28" s="63"/>
      <c r="BY28" s="63"/>
      <c r="BZ28" s="63"/>
      <c r="CA28" s="64"/>
      <c r="CB28" s="64"/>
      <c r="CC28" s="64"/>
      <c r="CD28" s="64"/>
      <c r="CE28" s="64"/>
      <c r="CF28" s="64"/>
      <c r="CG28" s="64"/>
      <c r="CH28" s="63"/>
      <c r="CI28" s="63"/>
      <c r="CJ28" s="63"/>
      <c r="CK28" s="63"/>
      <c r="CL28" s="63"/>
      <c r="CM28" s="63"/>
      <c r="CN28" s="63"/>
      <c r="CO28" s="64"/>
      <c r="CP28" s="64"/>
      <c r="CQ28" s="64"/>
      <c r="CR28" s="64"/>
      <c r="CS28" s="64"/>
      <c r="CT28" s="64"/>
      <c r="CU28" s="64"/>
      <c r="CV28" s="63"/>
      <c r="CW28" s="63"/>
      <c r="CX28" s="63"/>
      <c r="CY28" s="63"/>
      <c r="CZ28" s="63"/>
      <c r="DA28" s="63"/>
      <c r="DB28" s="63"/>
      <c r="DC28" s="64"/>
      <c r="DD28" s="64"/>
      <c r="DE28" s="64"/>
      <c r="DF28" s="64"/>
      <c r="DG28" s="64"/>
      <c r="DH28" s="64"/>
      <c r="DI28" s="64"/>
      <c r="DJ28" s="63"/>
      <c r="DK28" s="63"/>
      <c r="DL28" s="63"/>
      <c r="DM28" s="63"/>
      <c r="DN28" s="63"/>
      <c r="DO28" s="63"/>
      <c r="DP28" s="63"/>
      <c r="DQ28" s="64"/>
      <c r="DR28" s="64"/>
      <c r="DS28" s="64"/>
      <c r="DT28" s="64"/>
      <c r="DU28" s="64"/>
      <c r="DV28" s="64"/>
      <c r="DW28" s="64"/>
      <c r="DX28" s="63"/>
      <c r="DY28" s="63"/>
      <c r="DZ28" s="63"/>
      <c r="EA28" s="63"/>
      <c r="EB28" s="63"/>
      <c r="EC28" s="63"/>
      <c r="ED28" s="63"/>
      <c r="EE28" s="64"/>
      <c r="EF28" s="64"/>
      <c r="EG28" s="64"/>
      <c r="EH28" s="64"/>
      <c r="EI28" s="64"/>
      <c r="EJ28" s="64"/>
      <c r="EK28" s="64"/>
      <c r="EL28" s="63"/>
      <c r="EM28" s="63"/>
      <c r="EN28" s="63"/>
      <c r="EO28" s="63"/>
      <c r="EP28" s="63"/>
      <c r="EQ28" s="63"/>
      <c r="ER28" s="63"/>
      <c r="ES28" s="64"/>
      <c r="ET28" s="64"/>
      <c r="EU28" s="64"/>
      <c r="EV28" s="64"/>
      <c r="EW28" s="64"/>
      <c r="EX28" s="64"/>
      <c r="EY28" s="64"/>
      <c r="EZ28" s="63"/>
      <c r="FA28" s="63"/>
      <c r="FB28" s="63"/>
      <c r="FC28" s="63"/>
      <c r="FD28" s="63"/>
      <c r="FE28" s="63"/>
      <c r="FF28" s="63"/>
      <c r="FG28" s="64"/>
      <c r="FH28" s="64"/>
      <c r="FI28" s="64"/>
      <c r="FJ28" s="64"/>
      <c r="FK28" s="64"/>
      <c r="FL28" s="64"/>
      <c r="FM28" s="64"/>
      <c r="FN28" s="63"/>
      <c r="FO28" s="63"/>
      <c r="FP28" s="63"/>
      <c r="FQ28" s="63"/>
      <c r="FR28" s="63"/>
      <c r="FS28" s="63"/>
      <c r="FT28" s="63"/>
      <c r="FU28" s="64"/>
      <c r="FV28" s="64"/>
      <c r="FW28" s="64"/>
      <c r="FX28" s="64"/>
      <c r="FY28" s="64"/>
      <c r="FZ28" s="64"/>
      <c r="GA28" s="64"/>
      <c r="GB28" s="63"/>
      <c r="GC28" s="63"/>
      <c r="GD28" s="63"/>
      <c r="GE28" s="63"/>
      <c r="GF28" s="63"/>
      <c r="GG28" s="63"/>
      <c r="GH28" s="63"/>
      <c r="GI28" s="64"/>
      <c r="GJ28" s="64"/>
      <c r="GK28" s="64"/>
      <c r="GL28" s="64"/>
      <c r="GM28" s="64"/>
      <c r="GN28" s="64"/>
      <c r="GO28" s="64"/>
      <c r="GP28" s="63"/>
      <c r="GQ28" s="63"/>
      <c r="GR28" s="63"/>
      <c r="GS28" s="63"/>
      <c r="GT28" s="63"/>
      <c r="GU28" s="63"/>
      <c r="GV28" s="63"/>
      <c r="GW28" s="64"/>
      <c r="GX28" s="64"/>
      <c r="GY28" s="64"/>
      <c r="GZ28" s="64"/>
      <c r="HA28" s="64"/>
      <c r="HB28" s="64"/>
      <c r="HC28" s="64"/>
      <c r="HD28" s="63"/>
      <c r="HE28" s="63"/>
      <c r="HF28" s="63"/>
      <c r="HG28" s="63"/>
      <c r="HH28" s="63"/>
      <c r="HI28" s="63"/>
      <c r="HJ28" s="63"/>
      <c r="HK28" s="65" t="n">
        <f aca="false">COUNTIF(B28:HJ28,"A")</f>
        <v>0</v>
      </c>
      <c r="HL28" s="66" t="n">
        <f aca="false">COUNTIF(B28:HJ28,"O")</f>
        <v>0</v>
      </c>
      <c r="HM28" s="67" t="n">
        <f aca="false">COUNTIF(B28:HJ28,"D")</f>
        <v>0</v>
      </c>
      <c r="HN28" s="68" t="n">
        <f aca="false">COUNTIF(B28:HJ28,"N/A")</f>
        <v>0</v>
      </c>
      <c r="HO28" s="69" t="n">
        <f aca="false">IFERROR((HK28+HL28)/(HK28+HL28+HM28),0)</f>
        <v>0</v>
      </c>
    </row>
    <row r="29" customFormat="false" ht="15.75" hidden="false" customHeight="true" outlineLevel="0" collapsed="false">
      <c r="A29" s="62" t="n">
        <f aca="false">Roster!B29</f>
        <v>0</v>
      </c>
      <c r="B29" s="63"/>
      <c r="C29" s="63"/>
      <c r="D29" s="63"/>
      <c r="E29" s="63"/>
      <c r="F29" s="63"/>
      <c r="G29" s="63"/>
      <c r="H29" s="63"/>
      <c r="I29" s="64"/>
      <c r="J29" s="64"/>
      <c r="K29" s="64"/>
      <c r="L29" s="64"/>
      <c r="M29" s="64"/>
      <c r="N29" s="64"/>
      <c r="O29" s="64"/>
      <c r="P29" s="63"/>
      <c r="Q29" s="63"/>
      <c r="R29" s="63"/>
      <c r="S29" s="63"/>
      <c r="T29" s="63"/>
      <c r="U29" s="63"/>
      <c r="V29" s="63"/>
      <c r="W29" s="64"/>
      <c r="X29" s="64"/>
      <c r="Y29" s="64"/>
      <c r="Z29" s="64"/>
      <c r="AA29" s="64"/>
      <c r="AB29" s="64"/>
      <c r="AC29" s="64"/>
      <c r="AD29" s="63"/>
      <c r="AE29" s="63"/>
      <c r="AF29" s="63"/>
      <c r="AG29" s="63"/>
      <c r="AH29" s="63"/>
      <c r="AI29" s="63"/>
      <c r="AJ29" s="63"/>
      <c r="AK29" s="64"/>
      <c r="AL29" s="64"/>
      <c r="AM29" s="64"/>
      <c r="AN29" s="64"/>
      <c r="AO29" s="64"/>
      <c r="AP29" s="64"/>
      <c r="AQ29" s="64"/>
      <c r="AR29" s="63"/>
      <c r="AS29" s="63"/>
      <c r="AT29" s="63"/>
      <c r="AU29" s="63"/>
      <c r="AV29" s="63"/>
      <c r="AW29" s="63"/>
      <c r="AX29" s="63"/>
      <c r="AY29" s="64"/>
      <c r="AZ29" s="64"/>
      <c r="BA29" s="64"/>
      <c r="BB29" s="64"/>
      <c r="BC29" s="64"/>
      <c r="BD29" s="64"/>
      <c r="BE29" s="64"/>
      <c r="BF29" s="63"/>
      <c r="BG29" s="63"/>
      <c r="BH29" s="63"/>
      <c r="BI29" s="63"/>
      <c r="BJ29" s="63"/>
      <c r="BK29" s="63"/>
      <c r="BL29" s="63"/>
      <c r="BM29" s="64"/>
      <c r="BN29" s="64"/>
      <c r="BO29" s="64"/>
      <c r="BP29" s="64"/>
      <c r="BQ29" s="64"/>
      <c r="BR29" s="64"/>
      <c r="BS29" s="64"/>
      <c r="BT29" s="63"/>
      <c r="BU29" s="63"/>
      <c r="BV29" s="63"/>
      <c r="BW29" s="63"/>
      <c r="BX29" s="63"/>
      <c r="BY29" s="63"/>
      <c r="BZ29" s="63"/>
      <c r="CA29" s="64"/>
      <c r="CB29" s="64"/>
      <c r="CC29" s="64"/>
      <c r="CD29" s="64"/>
      <c r="CE29" s="64"/>
      <c r="CF29" s="64"/>
      <c r="CG29" s="64"/>
      <c r="CH29" s="63"/>
      <c r="CI29" s="63"/>
      <c r="CJ29" s="63"/>
      <c r="CK29" s="63"/>
      <c r="CL29" s="63"/>
      <c r="CM29" s="63"/>
      <c r="CN29" s="63"/>
      <c r="CO29" s="64"/>
      <c r="CP29" s="64"/>
      <c r="CQ29" s="64"/>
      <c r="CR29" s="64"/>
      <c r="CS29" s="64"/>
      <c r="CT29" s="64"/>
      <c r="CU29" s="64"/>
      <c r="CV29" s="63"/>
      <c r="CW29" s="63"/>
      <c r="CX29" s="63"/>
      <c r="CY29" s="63"/>
      <c r="CZ29" s="63"/>
      <c r="DA29" s="63"/>
      <c r="DB29" s="63"/>
      <c r="DC29" s="64"/>
      <c r="DD29" s="64"/>
      <c r="DE29" s="64"/>
      <c r="DF29" s="64"/>
      <c r="DG29" s="64"/>
      <c r="DH29" s="64"/>
      <c r="DI29" s="64"/>
      <c r="DJ29" s="63"/>
      <c r="DK29" s="63"/>
      <c r="DL29" s="63"/>
      <c r="DM29" s="63"/>
      <c r="DN29" s="63"/>
      <c r="DO29" s="63"/>
      <c r="DP29" s="63"/>
      <c r="DQ29" s="64"/>
      <c r="DR29" s="64"/>
      <c r="DS29" s="64"/>
      <c r="DT29" s="64"/>
      <c r="DU29" s="64"/>
      <c r="DV29" s="64"/>
      <c r="DW29" s="64"/>
      <c r="DX29" s="63"/>
      <c r="DY29" s="63"/>
      <c r="DZ29" s="63"/>
      <c r="EA29" s="63"/>
      <c r="EB29" s="63"/>
      <c r="EC29" s="63"/>
      <c r="ED29" s="63"/>
      <c r="EE29" s="64"/>
      <c r="EF29" s="64"/>
      <c r="EG29" s="64"/>
      <c r="EH29" s="64"/>
      <c r="EI29" s="64"/>
      <c r="EJ29" s="64"/>
      <c r="EK29" s="64"/>
      <c r="EL29" s="63"/>
      <c r="EM29" s="63"/>
      <c r="EN29" s="63"/>
      <c r="EO29" s="63"/>
      <c r="EP29" s="63"/>
      <c r="EQ29" s="63"/>
      <c r="ER29" s="63"/>
      <c r="ES29" s="64"/>
      <c r="ET29" s="64"/>
      <c r="EU29" s="64"/>
      <c r="EV29" s="64"/>
      <c r="EW29" s="64"/>
      <c r="EX29" s="64"/>
      <c r="EY29" s="64"/>
      <c r="EZ29" s="63"/>
      <c r="FA29" s="63"/>
      <c r="FB29" s="63"/>
      <c r="FC29" s="63"/>
      <c r="FD29" s="63"/>
      <c r="FE29" s="63"/>
      <c r="FF29" s="63"/>
      <c r="FG29" s="64"/>
      <c r="FH29" s="64"/>
      <c r="FI29" s="64"/>
      <c r="FJ29" s="64"/>
      <c r="FK29" s="64"/>
      <c r="FL29" s="64"/>
      <c r="FM29" s="64"/>
      <c r="FN29" s="63"/>
      <c r="FO29" s="63"/>
      <c r="FP29" s="63"/>
      <c r="FQ29" s="63"/>
      <c r="FR29" s="63"/>
      <c r="FS29" s="63"/>
      <c r="FT29" s="63"/>
      <c r="FU29" s="64"/>
      <c r="FV29" s="64"/>
      <c r="FW29" s="64"/>
      <c r="FX29" s="64"/>
      <c r="FY29" s="64"/>
      <c r="FZ29" s="64"/>
      <c r="GA29" s="64"/>
      <c r="GB29" s="63"/>
      <c r="GC29" s="63"/>
      <c r="GD29" s="63"/>
      <c r="GE29" s="63"/>
      <c r="GF29" s="63"/>
      <c r="GG29" s="63"/>
      <c r="GH29" s="63"/>
      <c r="GI29" s="64"/>
      <c r="GJ29" s="64"/>
      <c r="GK29" s="64"/>
      <c r="GL29" s="64"/>
      <c r="GM29" s="64"/>
      <c r="GN29" s="64"/>
      <c r="GO29" s="64"/>
      <c r="GP29" s="63"/>
      <c r="GQ29" s="63"/>
      <c r="GR29" s="63"/>
      <c r="GS29" s="63"/>
      <c r="GT29" s="63"/>
      <c r="GU29" s="63"/>
      <c r="GV29" s="63"/>
      <c r="GW29" s="64"/>
      <c r="GX29" s="64"/>
      <c r="GY29" s="64"/>
      <c r="GZ29" s="64"/>
      <c r="HA29" s="64"/>
      <c r="HB29" s="64"/>
      <c r="HC29" s="64"/>
      <c r="HD29" s="63"/>
      <c r="HE29" s="63"/>
      <c r="HF29" s="63"/>
      <c r="HG29" s="63"/>
      <c r="HH29" s="63"/>
      <c r="HI29" s="63"/>
      <c r="HJ29" s="63"/>
      <c r="HK29" s="65" t="n">
        <f aca="false">COUNTIF(B29:HJ29,"A")</f>
        <v>0</v>
      </c>
      <c r="HL29" s="66" t="n">
        <f aca="false">COUNTIF(B29:HJ29,"O")</f>
        <v>0</v>
      </c>
      <c r="HM29" s="67" t="n">
        <f aca="false">COUNTIF(B29:HJ29,"D")</f>
        <v>0</v>
      </c>
      <c r="HN29" s="68" t="n">
        <f aca="false">COUNTIF(B29:HJ29,"N/A")</f>
        <v>0</v>
      </c>
      <c r="HO29" s="69" t="n">
        <f aca="false">IFERROR((HK29+HL29)/(HK29+HL29+HM29),0)</f>
        <v>0</v>
      </c>
    </row>
    <row r="30" customFormat="false" ht="15.75" hidden="false" customHeight="true" outlineLevel="0" collapsed="false">
      <c r="A30" s="62" t="n">
        <f aca="false">Roster!B30</f>
        <v>0</v>
      </c>
      <c r="B30" s="63"/>
      <c r="C30" s="63"/>
      <c r="D30" s="63"/>
      <c r="E30" s="63"/>
      <c r="F30" s="63"/>
      <c r="G30" s="63"/>
      <c r="H30" s="63"/>
      <c r="I30" s="64"/>
      <c r="J30" s="64"/>
      <c r="K30" s="64"/>
      <c r="L30" s="64"/>
      <c r="M30" s="64"/>
      <c r="N30" s="64"/>
      <c r="O30" s="64"/>
      <c r="P30" s="63"/>
      <c r="Q30" s="63"/>
      <c r="R30" s="63"/>
      <c r="S30" s="63"/>
      <c r="T30" s="63"/>
      <c r="U30" s="63"/>
      <c r="V30" s="63"/>
      <c r="W30" s="64"/>
      <c r="X30" s="64"/>
      <c r="Y30" s="64"/>
      <c r="Z30" s="64"/>
      <c r="AA30" s="64"/>
      <c r="AB30" s="64"/>
      <c r="AC30" s="64"/>
      <c r="AD30" s="63"/>
      <c r="AE30" s="63"/>
      <c r="AF30" s="63"/>
      <c r="AG30" s="63"/>
      <c r="AH30" s="63"/>
      <c r="AI30" s="63"/>
      <c r="AJ30" s="63"/>
      <c r="AK30" s="64"/>
      <c r="AL30" s="64"/>
      <c r="AM30" s="64"/>
      <c r="AN30" s="64"/>
      <c r="AO30" s="64"/>
      <c r="AP30" s="64"/>
      <c r="AQ30" s="64"/>
      <c r="AR30" s="63"/>
      <c r="AS30" s="63"/>
      <c r="AT30" s="63"/>
      <c r="AU30" s="63"/>
      <c r="AV30" s="63"/>
      <c r="AW30" s="63"/>
      <c r="AX30" s="63"/>
      <c r="AY30" s="64"/>
      <c r="AZ30" s="64"/>
      <c r="BA30" s="64"/>
      <c r="BB30" s="64"/>
      <c r="BC30" s="64"/>
      <c r="BD30" s="64"/>
      <c r="BE30" s="64"/>
      <c r="BF30" s="63"/>
      <c r="BG30" s="63"/>
      <c r="BH30" s="63"/>
      <c r="BI30" s="63"/>
      <c r="BJ30" s="63"/>
      <c r="BK30" s="63"/>
      <c r="BL30" s="63"/>
      <c r="BM30" s="64"/>
      <c r="BN30" s="64"/>
      <c r="BO30" s="64"/>
      <c r="BP30" s="64"/>
      <c r="BQ30" s="64"/>
      <c r="BR30" s="64"/>
      <c r="BS30" s="64"/>
      <c r="BT30" s="63"/>
      <c r="BU30" s="63"/>
      <c r="BV30" s="63"/>
      <c r="BW30" s="63"/>
      <c r="BX30" s="63"/>
      <c r="BY30" s="63"/>
      <c r="BZ30" s="63"/>
      <c r="CA30" s="64"/>
      <c r="CB30" s="64"/>
      <c r="CC30" s="64"/>
      <c r="CD30" s="64"/>
      <c r="CE30" s="64"/>
      <c r="CF30" s="64"/>
      <c r="CG30" s="64"/>
      <c r="CH30" s="63"/>
      <c r="CI30" s="63"/>
      <c r="CJ30" s="63"/>
      <c r="CK30" s="63"/>
      <c r="CL30" s="63"/>
      <c r="CM30" s="63"/>
      <c r="CN30" s="63"/>
      <c r="CO30" s="64"/>
      <c r="CP30" s="64"/>
      <c r="CQ30" s="64"/>
      <c r="CR30" s="64"/>
      <c r="CS30" s="64"/>
      <c r="CT30" s="64"/>
      <c r="CU30" s="64"/>
      <c r="CV30" s="63"/>
      <c r="CW30" s="63"/>
      <c r="CX30" s="63"/>
      <c r="CY30" s="63"/>
      <c r="CZ30" s="63"/>
      <c r="DA30" s="63"/>
      <c r="DB30" s="63"/>
      <c r="DC30" s="64"/>
      <c r="DD30" s="64"/>
      <c r="DE30" s="64"/>
      <c r="DF30" s="64"/>
      <c r="DG30" s="64"/>
      <c r="DH30" s="64"/>
      <c r="DI30" s="64"/>
      <c r="DJ30" s="63"/>
      <c r="DK30" s="63"/>
      <c r="DL30" s="63"/>
      <c r="DM30" s="63"/>
      <c r="DN30" s="63"/>
      <c r="DO30" s="63"/>
      <c r="DP30" s="63"/>
      <c r="DQ30" s="64"/>
      <c r="DR30" s="64"/>
      <c r="DS30" s="64"/>
      <c r="DT30" s="64"/>
      <c r="DU30" s="64"/>
      <c r="DV30" s="64"/>
      <c r="DW30" s="64"/>
      <c r="DX30" s="63"/>
      <c r="DY30" s="63"/>
      <c r="DZ30" s="63"/>
      <c r="EA30" s="63"/>
      <c r="EB30" s="63"/>
      <c r="EC30" s="63"/>
      <c r="ED30" s="63"/>
      <c r="EE30" s="64"/>
      <c r="EF30" s="64"/>
      <c r="EG30" s="64"/>
      <c r="EH30" s="64"/>
      <c r="EI30" s="64"/>
      <c r="EJ30" s="64"/>
      <c r="EK30" s="64"/>
      <c r="EL30" s="63"/>
      <c r="EM30" s="63"/>
      <c r="EN30" s="63"/>
      <c r="EO30" s="63"/>
      <c r="EP30" s="63"/>
      <c r="EQ30" s="63"/>
      <c r="ER30" s="63"/>
      <c r="ES30" s="64"/>
      <c r="ET30" s="64"/>
      <c r="EU30" s="64"/>
      <c r="EV30" s="64"/>
      <c r="EW30" s="64"/>
      <c r="EX30" s="64"/>
      <c r="EY30" s="64"/>
      <c r="EZ30" s="63"/>
      <c r="FA30" s="63"/>
      <c r="FB30" s="63"/>
      <c r="FC30" s="63"/>
      <c r="FD30" s="63"/>
      <c r="FE30" s="63"/>
      <c r="FF30" s="63"/>
      <c r="FG30" s="64"/>
      <c r="FH30" s="64"/>
      <c r="FI30" s="64"/>
      <c r="FJ30" s="64"/>
      <c r="FK30" s="64"/>
      <c r="FL30" s="64"/>
      <c r="FM30" s="64"/>
      <c r="FN30" s="63"/>
      <c r="FO30" s="63"/>
      <c r="FP30" s="63"/>
      <c r="FQ30" s="63"/>
      <c r="FR30" s="63"/>
      <c r="FS30" s="63"/>
      <c r="FT30" s="63"/>
      <c r="FU30" s="64"/>
      <c r="FV30" s="64"/>
      <c r="FW30" s="64"/>
      <c r="FX30" s="64"/>
      <c r="FY30" s="64"/>
      <c r="FZ30" s="64"/>
      <c r="GA30" s="64"/>
      <c r="GB30" s="63"/>
      <c r="GC30" s="63"/>
      <c r="GD30" s="63"/>
      <c r="GE30" s="63"/>
      <c r="GF30" s="63"/>
      <c r="GG30" s="63"/>
      <c r="GH30" s="63"/>
      <c r="GI30" s="64"/>
      <c r="GJ30" s="64"/>
      <c r="GK30" s="64"/>
      <c r="GL30" s="64"/>
      <c r="GM30" s="64"/>
      <c r="GN30" s="64"/>
      <c r="GO30" s="64"/>
      <c r="GP30" s="63"/>
      <c r="GQ30" s="63"/>
      <c r="GR30" s="63"/>
      <c r="GS30" s="63"/>
      <c r="GT30" s="63"/>
      <c r="GU30" s="63"/>
      <c r="GV30" s="63"/>
      <c r="GW30" s="64"/>
      <c r="GX30" s="64"/>
      <c r="GY30" s="64"/>
      <c r="GZ30" s="64"/>
      <c r="HA30" s="64"/>
      <c r="HB30" s="64"/>
      <c r="HC30" s="64"/>
      <c r="HD30" s="63"/>
      <c r="HE30" s="63"/>
      <c r="HF30" s="63"/>
      <c r="HG30" s="63"/>
      <c r="HH30" s="63"/>
      <c r="HI30" s="63"/>
      <c r="HJ30" s="63"/>
      <c r="HK30" s="65" t="n">
        <f aca="false">COUNTIF(B30:HJ30,"A")</f>
        <v>0</v>
      </c>
      <c r="HL30" s="66" t="n">
        <f aca="false">COUNTIF(B30:HJ30,"O")</f>
        <v>0</v>
      </c>
      <c r="HM30" s="67" t="n">
        <f aca="false">COUNTIF(B30:HJ30,"D")</f>
        <v>0</v>
      </c>
      <c r="HN30" s="68" t="n">
        <f aca="false">COUNTIF(B30:HJ30,"N/A")</f>
        <v>0</v>
      </c>
      <c r="HO30" s="69" t="n">
        <f aca="false">IFERROR((HK30+HL30)/(HK30+HL30+HM30),0)</f>
        <v>0</v>
      </c>
    </row>
    <row r="31" customFormat="false" ht="15.75" hidden="false" customHeight="true" outlineLevel="0" collapsed="false">
      <c r="A31" s="62" t="n">
        <f aca="false">Roster!B31</f>
        <v>0</v>
      </c>
      <c r="B31" s="63"/>
      <c r="C31" s="63"/>
      <c r="D31" s="63"/>
      <c r="E31" s="63"/>
      <c r="F31" s="63"/>
      <c r="G31" s="63"/>
      <c r="H31" s="63"/>
      <c r="I31" s="64"/>
      <c r="J31" s="64"/>
      <c r="K31" s="64"/>
      <c r="L31" s="64"/>
      <c r="M31" s="64"/>
      <c r="N31" s="64"/>
      <c r="O31" s="64"/>
      <c r="P31" s="63"/>
      <c r="Q31" s="63"/>
      <c r="R31" s="63"/>
      <c r="S31" s="63"/>
      <c r="T31" s="63"/>
      <c r="U31" s="63"/>
      <c r="V31" s="63"/>
      <c r="W31" s="64"/>
      <c r="X31" s="64"/>
      <c r="Y31" s="64"/>
      <c r="Z31" s="64"/>
      <c r="AA31" s="64"/>
      <c r="AB31" s="64"/>
      <c r="AC31" s="64"/>
      <c r="AD31" s="63"/>
      <c r="AE31" s="63"/>
      <c r="AF31" s="63"/>
      <c r="AG31" s="63"/>
      <c r="AH31" s="63"/>
      <c r="AI31" s="63"/>
      <c r="AJ31" s="63"/>
      <c r="AK31" s="64"/>
      <c r="AL31" s="64"/>
      <c r="AM31" s="64"/>
      <c r="AN31" s="64"/>
      <c r="AO31" s="64"/>
      <c r="AP31" s="64"/>
      <c r="AQ31" s="64"/>
      <c r="AR31" s="63"/>
      <c r="AS31" s="63"/>
      <c r="AT31" s="63"/>
      <c r="AU31" s="63"/>
      <c r="AV31" s="63"/>
      <c r="AW31" s="63"/>
      <c r="AX31" s="63"/>
      <c r="AY31" s="64"/>
      <c r="AZ31" s="64"/>
      <c r="BA31" s="64"/>
      <c r="BB31" s="64"/>
      <c r="BC31" s="64"/>
      <c r="BD31" s="64"/>
      <c r="BE31" s="64"/>
      <c r="BF31" s="63"/>
      <c r="BG31" s="63"/>
      <c r="BH31" s="63"/>
      <c r="BI31" s="63"/>
      <c r="BJ31" s="63"/>
      <c r="BK31" s="63"/>
      <c r="BL31" s="63"/>
      <c r="BM31" s="64"/>
      <c r="BN31" s="64"/>
      <c r="BO31" s="64"/>
      <c r="BP31" s="64"/>
      <c r="BQ31" s="64"/>
      <c r="BR31" s="64"/>
      <c r="BS31" s="64"/>
      <c r="BT31" s="63"/>
      <c r="BU31" s="63"/>
      <c r="BV31" s="63"/>
      <c r="BW31" s="63"/>
      <c r="BX31" s="63"/>
      <c r="BY31" s="63"/>
      <c r="BZ31" s="63"/>
      <c r="CA31" s="64"/>
      <c r="CB31" s="64"/>
      <c r="CC31" s="64"/>
      <c r="CD31" s="64"/>
      <c r="CE31" s="64"/>
      <c r="CF31" s="64"/>
      <c r="CG31" s="64"/>
      <c r="CH31" s="63"/>
      <c r="CI31" s="63"/>
      <c r="CJ31" s="63"/>
      <c r="CK31" s="63"/>
      <c r="CL31" s="63"/>
      <c r="CM31" s="63"/>
      <c r="CN31" s="63"/>
      <c r="CO31" s="64"/>
      <c r="CP31" s="64"/>
      <c r="CQ31" s="64"/>
      <c r="CR31" s="64"/>
      <c r="CS31" s="64"/>
      <c r="CT31" s="64"/>
      <c r="CU31" s="64"/>
      <c r="CV31" s="63"/>
      <c r="CW31" s="63"/>
      <c r="CX31" s="63"/>
      <c r="CY31" s="63"/>
      <c r="CZ31" s="63"/>
      <c r="DA31" s="63"/>
      <c r="DB31" s="63"/>
      <c r="DC31" s="64"/>
      <c r="DD31" s="64"/>
      <c r="DE31" s="64"/>
      <c r="DF31" s="64"/>
      <c r="DG31" s="64"/>
      <c r="DH31" s="64"/>
      <c r="DI31" s="64"/>
      <c r="DJ31" s="63"/>
      <c r="DK31" s="63"/>
      <c r="DL31" s="63"/>
      <c r="DM31" s="63"/>
      <c r="DN31" s="63"/>
      <c r="DO31" s="63"/>
      <c r="DP31" s="63"/>
      <c r="DQ31" s="64"/>
      <c r="DR31" s="64"/>
      <c r="DS31" s="64"/>
      <c r="DT31" s="64"/>
      <c r="DU31" s="64"/>
      <c r="DV31" s="64"/>
      <c r="DW31" s="64"/>
      <c r="DX31" s="63"/>
      <c r="DY31" s="63"/>
      <c r="DZ31" s="63"/>
      <c r="EA31" s="63"/>
      <c r="EB31" s="63"/>
      <c r="EC31" s="63"/>
      <c r="ED31" s="63"/>
      <c r="EE31" s="64"/>
      <c r="EF31" s="64"/>
      <c r="EG31" s="64"/>
      <c r="EH31" s="64"/>
      <c r="EI31" s="64"/>
      <c r="EJ31" s="64"/>
      <c r="EK31" s="64"/>
      <c r="EL31" s="63"/>
      <c r="EM31" s="63"/>
      <c r="EN31" s="63"/>
      <c r="EO31" s="63"/>
      <c r="EP31" s="63"/>
      <c r="EQ31" s="63"/>
      <c r="ER31" s="63"/>
      <c r="ES31" s="64"/>
      <c r="ET31" s="64"/>
      <c r="EU31" s="64"/>
      <c r="EV31" s="64"/>
      <c r="EW31" s="64"/>
      <c r="EX31" s="64"/>
      <c r="EY31" s="64"/>
      <c r="EZ31" s="63"/>
      <c r="FA31" s="63"/>
      <c r="FB31" s="63"/>
      <c r="FC31" s="63"/>
      <c r="FD31" s="63"/>
      <c r="FE31" s="63"/>
      <c r="FF31" s="63"/>
      <c r="FG31" s="64"/>
      <c r="FH31" s="64"/>
      <c r="FI31" s="64"/>
      <c r="FJ31" s="64"/>
      <c r="FK31" s="64"/>
      <c r="FL31" s="64"/>
      <c r="FM31" s="64"/>
      <c r="FN31" s="63"/>
      <c r="FO31" s="63"/>
      <c r="FP31" s="63"/>
      <c r="FQ31" s="63"/>
      <c r="FR31" s="63"/>
      <c r="FS31" s="63"/>
      <c r="FT31" s="63"/>
      <c r="FU31" s="64"/>
      <c r="FV31" s="64"/>
      <c r="FW31" s="64"/>
      <c r="FX31" s="64"/>
      <c r="FY31" s="64"/>
      <c r="FZ31" s="64"/>
      <c r="GA31" s="64"/>
      <c r="GB31" s="63"/>
      <c r="GC31" s="63"/>
      <c r="GD31" s="63"/>
      <c r="GE31" s="63"/>
      <c r="GF31" s="63"/>
      <c r="GG31" s="63"/>
      <c r="GH31" s="63"/>
      <c r="GI31" s="64"/>
      <c r="GJ31" s="64"/>
      <c r="GK31" s="64"/>
      <c r="GL31" s="64"/>
      <c r="GM31" s="64"/>
      <c r="GN31" s="64"/>
      <c r="GO31" s="64"/>
      <c r="GP31" s="63"/>
      <c r="GQ31" s="63"/>
      <c r="GR31" s="63"/>
      <c r="GS31" s="63"/>
      <c r="GT31" s="63"/>
      <c r="GU31" s="63"/>
      <c r="GV31" s="63"/>
      <c r="GW31" s="64"/>
      <c r="GX31" s="64"/>
      <c r="GY31" s="64"/>
      <c r="GZ31" s="64"/>
      <c r="HA31" s="64"/>
      <c r="HB31" s="64"/>
      <c r="HC31" s="64"/>
      <c r="HD31" s="63"/>
      <c r="HE31" s="63"/>
      <c r="HF31" s="63"/>
      <c r="HG31" s="63"/>
      <c r="HH31" s="63"/>
      <c r="HI31" s="63"/>
      <c r="HJ31" s="63"/>
      <c r="HK31" s="65" t="n">
        <f aca="false">COUNTIF(B31:HJ31,"A")</f>
        <v>0</v>
      </c>
      <c r="HL31" s="66" t="n">
        <f aca="false">COUNTIF(B31:HJ31,"O")</f>
        <v>0</v>
      </c>
      <c r="HM31" s="67" t="n">
        <f aca="false">COUNTIF(B31:HJ31,"D")</f>
        <v>0</v>
      </c>
      <c r="HN31" s="68" t="n">
        <f aca="false">COUNTIF(B31:HJ31,"N/A")</f>
        <v>0</v>
      </c>
      <c r="HO31" s="69" t="n">
        <f aca="false">IFERROR((HK31+HL31)/(HK31+HL31+HM31),0)</f>
        <v>0</v>
      </c>
    </row>
    <row r="32" customFormat="false" ht="15.75" hidden="false" customHeight="true" outlineLevel="0" collapsed="false">
      <c r="A32" s="62" t="n">
        <f aca="false">Roster!B32</f>
        <v>0</v>
      </c>
      <c r="B32" s="63"/>
      <c r="C32" s="63"/>
      <c r="D32" s="63"/>
      <c r="E32" s="63"/>
      <c r="F32" s="63"/>
      <c r="G32" s="63"/>
      <c r="H32" s="63"/>
      <c r="I32" s="64"/>
      <c r="J32" s="64"/>
      <c r="K32" s="64"/>
      <c r="L32" s="64"/>
      <c r="M32" s="64"/>
      <c r="N32" s="64"/>
      <c r="O32" s="64"/>
      <c r="P32" s="63"/>
      <c r="Q32" s="63"/>
      <c r="R32" s="63"/>
      <c r="S32" s="63"/>
      <c r="T32" s="63"/>
      <c r="U32" s="63"/>
      <c r="V32" s="63"/>
      <c r="W32" s="64"/>
      <c r="X32" s="64"/>
      <c r="Y32" s="64"/>
      <c r="Z32" s="64"/>
      <c r="AA32" s="64"/>
      <c r="AB32" s="64"/>
      <c r="AC32" s="64"/>
      <c r="AD32" s="63"/>
      <c r="AE32" s="63"/>
      <c r="AF32" s="63"/>
      <c r="AG32" s="63"/>
      <c r="AH32" s="63"/>
      <c r="AI32" s="63"/>
      <c r="AJ32" s="63"/>
      <c r="AK32" s="64"/>
      <c r="AL32" s="64"/>
      <c r="AM32" s="64"/>
      <c r="AN32" s="64"/>
      <c r="AO32" s="64"/>
      <c r="AP32" s="64"/>
      <c r="AQ32" s="64"/>
      <c r="AR32" s="63"/>
      <c r="AS32" s="63"/>
      <c r="AT32" s="63"/>
      <c r="AU32" s="63"/>
      <c r="AV32" s="63"/>
      <c r="AW32" s="63"/>
      <c r="AX32" s="63"/>
      <c r="AY32" s="64"/>
      <c r="AZ32" s="64"/>
      <c r="BA32" s="64"/>
      <c r="BB32" s="64"/>
      <c r="BC32" s="64"/>
      <c r="BD32" s="64"/>
      <c r="BE32" s="64"/>
      <c r="BF32" s="63"/>
      <c r="BG32" s="63"/>
      <c r="BH32" s="63"/>
      <c r="BI32" s="63"/>
      <c r="BJ32" s="63"/>
      <c r="BK32" s="63"/>
      <c r="BL32" s="63"/>
      <c r="BM32" s="64"/>
      <c r="BN32" s="64"/>
      <c r="BO32" s="64"/>
      <c r="BP32" s="64"/>
      <c r="BQ32" s="64"/>
      <c r="BR32" s="64"/>
      <c r="BS32" s="64"/>
      <c r="BT32" s="63"/>
      <c r="BU32" s="63"/>
      <c r="BV32" s="63"/>
      <c r="BW32" s="63"/>
      <c r="BX32" s="63"/>
      <c r="BY32" s="63"/>
      <c r="BZ32" s="63"/>
      <c r="CA32" s="64"/>
      <c r="CB32" s="64"/>
      <c r="CC32" s="64"/>
      <c r="CD32" s="64"/>
      <c r="CE32" s="64"/>
      <c r="CF32" s="64"/>
      <c r="CG32" s="64"/>
      <c r="CH32" s="63"/>
      <c r="CI32" s="63"/>
      <c r="CJ32" s="63"/>
      <c r="CK32" s="63"/>
      <c r="CL32" s="63"/>
      <c r="CM32" s="63"/>
      <c r="CN32" s="63"/>
      <c r="CO32" s="64"/>
      <c r="CP32" s="64"/>
      <c r="CQ32" s="64"/>
      <c r="CR32" s="64"/>
      <c r="CS32" s="64"/>
      <c r="CT32" s="64"/>
      <c r="CU32" s="64"/>
      <c r="CV32" s="63"/>
      <c r="CW32" s="63"/>
      <c r="CX32" s="63"/>
      <c r="CY32" s="63"/>
      <c r="CZ32" s="63"/>
      <c r="DA32" s="63"/>
      <c r="DB32" s="63"/>
      <c r="DC32" s="64"/>
      <c r="DD32" s="64"/>
      <c r="DE32" s="64"/>
      <c r="DF32" s="64"/>
      <c r="DG32" s="64"/>
      <c r="DH32" s="64"/>
      <c r="DI32" s="64"/>
      <c r="DJ32" s="63"/>
      <c r="DK32" s="63"/>
      <c r="DL32" s="63"/>
      <c r="DM32" s="63"/>
      <c r="DN32" s="63"/>
      <c r="DO32" s="63"/>
      <c r="DP32" s="63"/>
      <c r="DQ32" s="64"/>
      <c r="DR32" s="64"/>
      <c r="DS32" s="64"/>
      <c r="DT32" s="64"/>
      <c r="DU32" s="64"/>
      <c r="DV32" s="64"/>
      <c r="DW32" s="64"/>
      <c r="DX32" s="63"/>
      <c r="DY32" s="63"/>
      <c r="DZ32" s="63"/>
      <c r="EA32" s="63"/>
      <c r="EB32" s="63"/>
      <c r="EC32" s="63"/>
      <c r="ED32" s="63"/>
      <c r="EE32" s="64"/>
      <c r="EF32" s="64"/>
      <c r="EG32" s="64"/>
      <c r="EH32" s="64"/>
      <c r="EI32" s="64"/>
      <c r="EJ32" s="64"/>
      <c r="EK32" s="64"/>
      <c r="EL32" s="63"/>
      <c r="EM32" s="63"/>
      <c r="EN32" s="63"/>
      <c r="EO32" s="63"/>
      <c r="EP32" s="63"/>
      <c r="EQ32" s="63"/>
      <c r="ER32" s="63"/>
      <c r="ES32" s="64"/>
      <c r="ET32" s="64"/>
      <c r="EU32" s="64"/>
      <c r="EV32" s="64"/>
      <c r="EW32" s="64"/>
      <c r="EX32" s="64"/>
      <c r="EY32" s="64"/>
      <c r="EZ32" s="63"/>
      <c r="FA32" s="63"/>
      <c r="FB32" s="63"/>
      <c r="FC32" s="63"/>
      <c r="FD32" s="63"/>
      <c r="FE32" s="63"/>
      <c r="FF32" s="63"/>
      <c r="FG32" s="64"/>
      <c r="FH32" s="64"/>
      <c r="FI32" s="64"/>
      <c r="FJ32" s="64"/>
      <c r="FK32" s="64"/>
      <c r="FL32" s="64"/>
      <c r="FM32" s="64"/>
      <c r="FN32" s="63"/>
      <c r="FO32" s="63"/>
      <c r="FP32" s="63"/>
      <c r="FQ32" s="63"/>
      <c r="FR32" s="63"/>
      <c r="FS32" s="63"/>
      <c r="FT32" s="63"/>
      <c r="FU32" s="64"/>
      <c r="FV32" s="64"/>
      <c r="FW32" s="64"/>
      <c r="FX32" s="64"/>
      <c r="FY32" s="64"/>
      <c r="FZ32" s="64"/>
      <c r="GA32" s="64"/>
      <c r="GB32" s="63"/>
      <c r="GC32" s="63"/>
      <c r="GD32" s="63"/>
      <c r="GE32" s="63"/>
      <c r="GF32" s="63"/>
      <c r="GG32" s="63"/>
      <c r="GH32" s="63"/>
      <c r="GI32" s="64"/>
      <c r="GJ32" s="64"/>
      <c r="GK32" s="64"/>
      <c r="GL32" s="64"/>
      <c r="GM32" s="64"/>
      <c r="GN32" s="64"/>
      <c r="GO32" s="64"/>
      <c r="GP32" s="63"/>
      <c r="GQ32" s="63"/>
      <c r="GR32" s="63"/>
      <c r="GS32" s="63"/>
      <c r="GT32" s="63"/>
      <c r="GU32" s="63"/>
      <c r="GV32" s="63"/>
      <c r="GW32" s="64"/>
      <c r="GX32" s="64"/>
      <c r="GY32" s="64"/>
      <c r="GZ32" s="64"/>
      <c r="HA32" s="64"/>
      <c r="HB32" s="64"/>
      <c r="HC32" s="64"/>
      <c r="HD32" s="63"/>
      <c r="HE32" s="63"/>
      <c r="HF32" s="63"/>
      <c r="HG32" s="63"/>
      <c r="HH32" s="63"/>
      <c r="HI32" s="63"/>
      <c r="HJ32" s="63"/>
      <c r="HK32" s="65" t="n">
        <f aca="false">COUNTIF(B32:HJ32,"A")</f>
        <v>0</v>
      </c>
      <c r="HL32" s="66" t="n">
        <f aca="false">COUNTIF(B32:HJ32,"O")</f>
        <v>0</v>
      </c>
      <c r="HM32" s="67" t="n">
        <f aca="false">COUNTIF(B32:HJ32,"D")</f>
        <v>0</v>
      </c>
      <c r="HN32" s="68" t="n">
        <f aca="false">COUNTIF(B32:HJ32,"N/A")</f>
        <v>0</v>
      </c>
      <c r="HO32" s="69" t="n">
        <f aca="false">IFERROR((HK32+HL32)/(HK32+HL32+HM32),0)</f>
        <v>0</v>
      </c>
    </row>
    <row r="33" customFormat="false" ht="15.75" hidden="false" customHeight="true" outlineLevel="0" collapsed="false">
      <c r="A33" s="62" t="n">
        <f aca="false">Roster!B33</f>
        <v>0</v>
      </c>
      <c r="B33" s="63"/>
      <c r="C33" s="63"/>
      <c r="D33" s="63"/>
      <c r="E33" s="63"/>
      <c r="F33" s="63"/>
      <c r="G33" s="63"/>
      <c r="H33" s="63"/>
      <c r="I33" s="64"/>
      <c r="J33" s="64"/>
      <c r="K33" s="64"/>
      <c r="L33" s="64"/>
      <c r="M33" s="64"/>
      <c r="N33" s="64"/>
      <c r="O33" s="64"/>
      <c r="P33" s="63"/>
      <c r="Q33" s="63"/>
      <c r="R33" s="63"/>
      <c r="S33" s="63"/>
      <c r="T33" s="63"/>
      <c r="U33" s="63"/>
      <c r="V33" s="63"/>
      <c r="W33" s="64"/>
      <c r="X33" s="64"/>
      <c r="Y33" s="64"/>
      <c r="Z33" s="64"/>
      <c r="AA33" s="64"/>
      <c r="AB33" s="64"/>
      <c r="AC33" s="64"/>
      <c r="AD33" s="63"/>
      <c r="AE33" s="63"/>
      <c r="AF33" s="63"/>
      <c r="AG33" s="63"/>
      <c r="AH33" s="63"/>
      <c r="AI33" s="63"/>
      <c r="AJ33" s="63"/>
      <c r="AK33" s="64"/>
      <c r="AL33" s="64"/>
      <c r="AM33" s="64"/>
      <c r="AN33" s="64"/>
      <c r="AO33" s="64"/>
      <c r="AP33" s="64"/>
      <c r="AQ33" s="64"/>
      <c r="AR33" s="63"/>
      <c r="AS33" s="63"/>
      <c r="AT33" s="63"/>
      <c r="AU33" s="63"/>
      <c r="AV33" s="63"/>
      <c r="AW33" s="63"/>
      <c r="AX33" s="63"/>
      <c r="AY33" s="64"/>
      <c r="AZ33" s="64"/>
      <c r="BA33" s="64"/>
      <c r="BB33" s="64"/>
      <c r="BC33" s="64"/>
      <c r="BD33" s="64"/>
      <c r="BE33" s="64"/>
      <c r="BF33" s="63"/>
      <c r="BG33" s="63"/>
      <c r="BH33" s="63"/>
      <c r="BI33" s="63"/>
      <c r="BJ33" s="63"/>
      <c r="BK33" s="63"/>
      <c r="BL33" s="63"/>
      <c r="BM33" s="64"/>
      <c r="BN33" s="64"/>
      <c r="BO33" s="64"/>
      <c r="BP33" s="64"/>
      <c r="BQ33" s="64"/>
      <c r="BR33" s="64"/>
      <c r="BS33" s="64"/>
      <c r="BT33" s="63"/>
      <c r="BU33" s="63"/>
      <c r="BV33" s="63"/>
      <c r="BW33" s="63"/>
      <c r="BX33" s="63"/>
      <c r="BY33" s="63"/>
      <c r="BZ33" s="63"/>
      <c r="CA33" s="64"/>
      <c r="CB33" s="64"/>
      <c r="CC33" s="64"/>
      <c r="CD33" s="64"/>
      <c r="CE33" s="64"/>
      <c r="CF33" s="64"/>
      <c r="CG33" s="64"/>
      <c r="CH33" s="63"/>
      <c r="CI33" s="63"/>
      <c r="CJ33" s="63"/>
      <c r="CK33" s="63"/>
      <c r="CL33" s="63"/>
      <c r="CM33" s="63"/>
      <c r="CN33" s="63"/>
      <c r="CO33" s="64"/>
      <c r="CP33" s="64"/>
      <c r="CQ33" s="64"/>
      <c r="CR33" s="64"/>
      <c r="CS33" s="64"/>
      <c r="CT33" s="64"/>
      <c r="CU33" s="64"/>
      <c r="CV33" s="63"/>
      <c r="CW33" s="63"/>
      <c r="CX33" s="63"/>
      <c r="CY33" s="63"/>
      <c r="CZ33" s="63"/>
      <c r="DA33" s="63"/>
      <c r="DB33" s="63"/>
      <c r="DC33" s="64"/>
      <c r="DD33" s="64"/>
      <c r="DE33" s="64"/>
      <c r="DF33" s="64"/>
      <c r="DG33" s="64"/>
      <c r="DH33" s="64"/>
      <c r="DI33" s="64"/>
      <c r="DJ33" s="63"/>
      <c r="DK33" s="63"/>
      <c r="DL33" s="63"/>
      <c r="DM33" s="63"/>
      <c r="DN33" s="63"/>
      <c r="DO33" s="63"/>
      <c r="DP33" s="63"/>
      <c r="DQ33" s="64"/>
      <c r="DR33" s="64"/>
      <c r="DS33" s="64"/>
      <c r="DT33" s="64"/>
      <c r="DU33" s="64"/>
      <c r="DV33" s="64"/>
      <c r="DW33" s="64"/>
      <c r="DX33" s="63"/>
      <c r="DY33" s="63"/>
      <c r="DZ33" s="63"/>
      <c r="EA33" s="63"/>
      <c r="EB33" s="63"/>
      <c r="EC33" s="63"/>
      <c r="ED33" s="63"/>
      <c r="EE33" s="64"/>
      <c r="EF33" s="64"/>
      <c r="EG33" s="64"/>
      <c r="EH33" s="64"/>
      <c r="EI33" s="64"/>
      <c r="EJ33" s="64"/>
      <c r="EK33" s="64"/>
      <c r="EL33" s="63"/>
      <c r="EM33" s="63"/>
      <c r="EN33" s="63"/>
      <c r="EO33" s="63"/>
      <c r="EP33" s="63"/>
      <c r="EQ33" s="63"/>
      <c r="ER33" s="63"/>
      <c r="ES33" s="64"/>
      <c r="ET33" s="64"/>
      <c r="EU33" s="64"/>
      <c r="EV33" s="64"/>
      <c r="EW33" s="64"/>
      <c r="EX33" s="64"/>
      <c r="EY33" s="64"/>
      <c r="EZ33" s="63"/>
      <c r="FA33" s="63"/>
      <c r="FB33" s="63"/>
      <c r="FC33" s="63"/>
      <c r="FD33" s="63"/>
      <c r="FE33" s="63"/>
      <c r="FF33" s="63"/>
      <c r="FG33" s="64"/>
      <c r="FH33" s="64"/>
      <c r="FI33" s="64"/>
      <c r="FJ33" s="64"/>
      <c r="FK33" s="64"/>
      <c r="FL33" s="64"/>
      <c r="FM33" s="64"/>
      <c r="FN33" s="63"/>
      <c r="FO33" s="63"/>
      <c r="FP33" s="63"/>
      <c r="FQ33" s="63"/>
      <c r="FR33" s="63"/>
      <c r="FS33" s="63"/>
      <c r="FT33" s="63"/>
      <c r="FU33" s="64"/>
      <c r="FV33" s="64"/>
      <c r="FW33" s="64"/>
      <c r="FX33" s="64"/>
      <c r="FY33" s="64"/>
      <c r="FZ33" s="64"/>
      <c r="GA33" s="64"/>
      <c r="GB33" s="63"/>
      <c r="GC33" s="63"/>
      <c r="GD33" s="63"/>
      <c r="GE33" s="63"/>
      <c r="GF33" s="63"/>
      <c r="GG33" s="63"/>
      <c r="GH33" s="63"/>
      <c r="GI33" s="64"/>
      <c r="GJ33" s="64"/>
      <c r="GK33" s="64"/>
      <c r="GL33" s="64"/>
      <c r="GM33" s="64"/>
      <c r="GN33" s="64"/>
      <c r="GO33" s="64"/>
      <c r="GP33" s="63"/>
      <c r="GQ33" s="63"/>
      <c r="GR33" s="63"/>
      <c r="GS33" s="63"/>
      <c r="GT33" s="63"/>
      <c r="GU33" s="63"/>
      <c r="GV33" s="63"/>
      <c r="GW33" s="64"/>
      <c r="GX33" s="64"/>
      <c r="GY33" s="64"/>
      <c r="GZ33" s="64"/>
      <c r="HA33" s="64"/>
      <c r="HB33" s="64"/>
      <c r="HC33" s="64"/>
      <c r="HD33" s="63"/>
      <c r="HE33" s="63"/>
      <c r="HF33" s="63"/>
      <c r="HG33" s="63"/>
      <c r="HH33" s="63"/>
      <c r="HI33" s="63"/>
      <c r="HJ33" s="63"/>
      <c r="HK33" s="65" t="n">
        <f aca="false">COUNTIF(B33:HJ33,"A")</f>
        <v>0</v>
      </c>
      <c r="HL33" s="66" t="n">
        <f aca="false">COUNTIF(B33:HJ33,"O")</f>
        <v>0</v>
      </c>
      <c r="HM33" s="67" t="n">
        <f aca="false">COUNTIF(B33:HJ33,"D")</f>
        <v>0</v>
      </c>
      <c r="HN33" s="68" t="n">
        <f aca="false">COUNTIF(B33:HJ33,"N/A")</f>
        <v>0</v>
      </c>
      <c r="HO33" s="69" t="n">
        <f aca="false">IFERROR((HK33+HL33)/(HK33+HL33+HM33),0)</f>
        <v>0</v>
      </c>
    </row>
    <row r="34" customFormat="false" ht="15.75" hidden="false" customHeight="true" outlineLevel="0" collapsed="false">
      <c r="A34" s="62" t="n">
        <f aca="false">Roster!B34</f>
        <v>0</v>
      </c>
      <c r="B34" s="63"/>
      <c r="C34" s="63"/>
      <c r="D34" s="63"/>
      <c r="E34" s="63"/>
      <c r="F34" s="63"/>
      <c r="G34" s="63"/>
      <c r="H34" s="63"/>
      <c r="I34" s="64"/>
      <c r="J34" s="64"/>
      <c r="K34" s="64"/>
      <c r="L34" s="64"/>
      <c r="M34" s="64"/>
      <c r="N34" s="64"/>
      <c r="O34" s="64"/>
      <c r="P34" s="63"/>
      <c r="Q34" s="63"/>
      <c r="R34" s="63"/>
      <c r="S34" s="63"/>
      <c r="T34" s="63"/>
      <c r="U34" s="63"/>
      <c r="V34" s="63"/>
      <c r="W34" s="64"/>
      <c r="X34" s="64"/>
      <c r="Y34" s="64"/>
      <c r="Z34" s="64"/>
      <c r="AA34" s="64"/>
      <c r="AB34" s="64"/>
      <c r="AC34" s="64"/>
      <c r="AD34" s="63"/>
      <c r="AE34" s="63"/>
      <c r="AF34" s="63"/>
      <c r="AG34" s="63"/>
      <c r="AH34" s="63"/>
      <c r="AI34" s="63"/>
      <c r="AJ34" s="63"/>
      <c r="AK34" s="64"/>
      <c r="AL34" s="64"/>
      <c r="AM34" s="64"/>
      <c r="AN34" s="64"/>
      <c r="AO34" s="64"/>
      <c r="AP34" s="64"/>
      <c r="AQ34" s="64"/>
      <c r="AR34" s="63"/>
      <c r="AS34" s="63"/>
      <c r="AT34" s="63"/>
      <c r="AU34" s="63"/>
      <c r="AV34" s="63"/>
      <c r="AW34" s="63"/>
      <c r="AX34" s="63"/>
      <c r="AY34" s="64"/>
      <c r="AZ34" s="64"/>
      <c r="BA34" s="64"/>
      <c r="BB34" s="64"/>
      <c r="BC34" s="64"/>
      <c r="BD34" s="64"/>
      <c r="BE34" s="64"/>
      <c r="BF34" s="63"/>
      <c r="BG34" s="63"/>
      <c r="BH34" s="63"/>
      <c r="BI34" s="63"/>
      <c r="BJ34" s="63"/>
      <c r="BK34" s="63"/>
      <c r="BL34" s="63"/>
      <c r="BM34" s="64"/>
      <c r="BN34" s="64"/>
      <c r="BO34" s="64"/>
      <c r="BP34" s="64"/>
      <c r="BQ34" s="64"/>
      <c r="BR34" s="64"/>
      <c r="BS34" s="64"/>
      <c r="BT34" s="63"/>
      <c r="BU34" s="63"/>
      <c r="BV34" s="63"/>
      <c r="BW34" s="63"/>
      <c r="BX34" s="63"/>
      <c r="BY34" s="63"/>
      <c r="BZ34" s="63"/>
      <c r="CA34" s="64"/>
      <c r="CB34" s="64"/>
      <c r="CC34" s="64"/>
      <c r="CD34" s="64"/>
      <c r="CE34" s="64"/>
      <c r="CF34" s="64"/>
      <c r="CG34" s="64"/>
      <c r="CH34" s="63"/>
      <c r="CI34" s="63"/>
      <c r="CJ34" s="63"/>
      <c r="CK34" s="63"/>
      <c r="CL34" s="63"/>
      <c r="CM34" s="63"/>
      <c r="CN34" s="63"/>
      <c r="CO34" s="64"/>
      <c r="CP34" s="64"/>
      <c r="CQ34" s="64"/>
      <c r="CR34" s="64"/>
      <c r="CS34" s="64"/>
      <c r="CT34" s="64"/>
      <c r="CU34" s="64"/>
      <c r="CV34" s="63"/>
      <c r="CW34" s="63"/>
      <c r="CX34" s="63"/>
      <c r="CY34" s="63"/>
      <c r="CZ34" s="63"/>
      <c r="DA34" s="63"/>
      <c r="DB34" s="63"/>
      <c r="DC34" s="64"/>
      <c r="DD34" s="64"/>
      <c r="DE34" s="64"/>
      <c r="DF34" s="64"/>
      <c r="DG34" s="64"/>
      <c r="DH34" s="64"/>
      <c r="DI34" s="64"/>
      <c r="DJ34" s="63"/>
      <c r="DK34" s="63"/>
      <c r="DL34" s="63"/>
      <c r="DM34" s="63"/>
      <c r="DN34" s="63"/>
      <c r="DO34" s="63"/>
      <c r="DP34" s="63"/>
      <c r="DQ34" s="64"/>
      <c r="DR34" s="64"/>
      <c r="DS34" s="64"/>
      <c r="DT34" s="64"/>
      <c r="DU34" s="64"/>
      <c r="DV34" s="64"/>
      <c r="DW34" s="64"/>
      <c r="DX34" s="63"/>
      <c r="DY34" s="63"/>
      <c r="DZ34" s="63"/>
      <c r="EA34" s="63"/>
      <c r="EB34" s="63"/>
      <c r="EC34" s="63"/>
      <c r="ED34" s="63"/>
      <c r="EE34" s="64"/>
      <c r="EF34" s="64"/>
      <c r="EG34" s="64"/>
      <c r="EH34" s="64"/>
      <c r="EI34" s="64"/>
      <c r="EJ34" s="64"/>
      <c r="EK34" s="64"/>
      <c r="EL34" s="63"/>
      <c r="EM34" s="63"/>
      <c r="EN34" s="63"/>
      <c r="EO34" s="63"/>
      <c r="EP34" s="63"/>
      <c r="EQ34" s="63"/>
      <c r="ER34" s="63"/>
      <c r="ES34" s="64"/>
      <c r="ET34" s="64"/>
      <c r="EU34" s="64"/>
      <c r="EV34" s="64"/>
      <c r="EW34" s="64"/>
      <c r="EX34" s="64"/>
      <c r="EY34" s="64"/>
      <c r="EZ34" s="63"/>
      <c r="FA34" s="63"/>
      <c r="FB34" s="63"/>
      <c r="FC34" s="63"/>
      <c r="FD34" s="63"/>
      <c r="FE34" s="63"/>
      <c r="FF34" s="63"/>
      <c r="FG34" s="64"/>
      <c r="FH34" s="64"/>
      <c r="FI34" s="64"/>
      <c r="FJ34" s="64"/>
      <c r="FK34" s="64"/>
      <c r="FL34" s="64"/>
      <c r="FM34" s="64"/>
      <c r="FN34" s="63"/>
      <c r="FO34" s="63"/>
      <c r="FP34" s="63"/>
      <c r="FQ34" s="63"/>
      <c r="FR34" s="63"/>
      <c r="FS34" s="63"/>
      <c r="FT34" s="63"/>
      <c r="FU34" s="64"/>
      <c r="FV34" s="64"/>
      <c r="FW34" s="64"/>
      <c r="FX34" s="64"/>
      <c r="FY34" s="64"/>
      <c r="FZ34" s="64"/>
      <c r="GA34" s="64"/>
      <c r="GB34" s="63"/>
      <c r="GC34" s="63"/>
      <c r="GD34" s="63"/>
      <c r="GE34" s="63"/>
      <c r="GF34" s="63"/>
      <c r="GG34" s="63"/>
      <c r="GH34" s="63"/>
      <c r="GI34" s="64"/>
      <c r="GJ34" s="64"/>
      <c r="GK34" s="64"/>
      <c r="GL34" s="64"/>
      <c r="GM34" s="64"/>
      <c r="GN34" s="64"/>
      <c r="GO34" s="64"/>
      <c r="GP34" s="63"/>
      <c r="GQ34" s="63"/>
      <c r="GR34" s="63"/>
      <c r="GS34" s="63"/>
      <c r="GT34" s="63"/>
      <c r="GU34" s="63"/>
      <c r="GV34" s="63"/>
      <c r="GW34" s="64"/>
      <c r="GX34" s="64"/>
      <c r="GY34" s="64"/>
      <c r="GZ34" s="64"/>
      <c r="HA34" s="64"/>
      <c r="HB34" s="64"/>
      <c r="HC34" s="64"/>
      <c r="HD34" s="63"/>
      <c r="HE34" s="63"/>
      <c r="HF34" s="63"/>
      <c r="HG34" s="63"/>
      <c r="HH34" s="63"/>
      <c r="HI34" s="63"/>
      <c r="HJ34" s="63"/>
      <c r="HK34" s="65" t="n">
        <f aca="false">COUNTIF(B34:HJ34,"A")</f>
        <v>0</v>
      </c>
      <c r="HL34" s="66" t="n">
        <f aca="false">COUNTIF(B34:HJ34,"O")</f>
        <v>0</v>
      </c>
      <c r="HM34" s="67" t="n">
        <f aca="false">COUNTIF(B34:HJ34,"D")</f>
        <v>0</v>
      </c>
      <c r="HN34" s="68" t="n">
        <f aca="false">COUNTIF(B34:HJ34,"N/A")</f>
        <v>0</v>
      </c>
      <c r="HO34" s="69" t="n">
        <f aca="false">IFERROR((HK34+HL34)/(HK34+HL34+HM34),0)</f>
        <v>0</v>
      </c>
    </row>
  </sheetData>
  <mergeCells count="39">
    <mergeCell ref="A1:G1"/>
    <mergeCell ref="A2:G2"/>
    <mergeCell ref="A3:A4"/>
    <mergeCell ref="B3:H3"/>
    <mergeCell ref="I3:O3"/>
    <mergeCell ref="P3:V3"/>
    <mergeCell ref="W3:AC3"/>
    <mergeCell ref="AD3:AJ3"/>
    <mergeCell ref="AK3:AQ3"/>
    <mergeCell ref="AR3:AX3"/>
    <mergeCell ref="AY3:BE3"/>
    <mergeCell ref="BF3:BL3"/>
    <mergeCell ref="BM3:BS3"/>
    <mergeCell ref="BT3:BZ3"/>
    <mergeCell ref="CA3:CG3"/>
    <mergeCell ref="CH3:CN3"/>
    <mergeCell ref="CO3:CU3"/>
    <mergeCell ref="CV3:DB3"/>
    <mergeCell ref="DC3:DI3"/>
    <mergeCell ref="DJ3:DP3"/>
    <mergeCell ref="DQ3:DW3"/>
    <mergeCell ref="DX3:ED3"/>
    <mergeCell ref="EE3:EK3"/>
    <mergeCell ref="EL3:ER3"/>
    <mergeCell ref="ES3:EY3"/>
    <mergeCell ref="EZ3:FF3"/>
    <mergeCell ref="FG3:FM3"/>
    <mergeCell ref="FN3:FT3"/>
    <mergeCell ref="FU3:GA3"/>
    <mergeCell ref="GB3:GH3"/>
    <mergeCell ref="GI3:GO3"/>
    <mergeCell ref="GP3:GV3"/>
    <mergeCell ref="GW3:HC3"/>
    <mergeCell ref="HD3:HJ3"/>
    <mergeCell ref="HK3:HK4"/>
    <mergeCell ref="HL3:HL4"/>
    <mergeCell ref="HM3:HM4"/>
    <mergeCell ref="HN3:HN4"/>
    <mergeCell ref="HO3:HO4"/>
  </mergeCells>
  <conditionalFormatting sqref="B5:HJ34">
    <cfRule type="cellIs" priority="2" operator="equal" aboveAverage="0" equalAverage="0" bottom="0" percent="0" rank="0" text="" dxfId="0">
      <formula>"A"</formula>
    </cfRule>
    <cfRule type="cellIs" priority="3" operator="equal" aboveAverage="0" equalAverage="0" bottom="0" percent="0" rank="0" text="" dxfId="1">
      <formula>"O"</formula>
    </cfRule>
    <cfRule type="cellIs" priority="4" operator="equal" aboveAverage="0" equalAverage="0" bottom="0" percent="0" rank="0" text="" dxfId="2">
      <formula>"D"</formula>
    </cfRule>
    <cfRule type="cellIs" priority="5" operator="equal" aboveAverage="0" equalAverage="0" bottom="0" percent="0" rank="0" text="" dxfId="3">
      <formula>"N/A"</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O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22"/>
    <col collapsed="false" customWidth="true" hidden="false" outlineLevel="0" max="218" min="2" style="0" width="3.5"/>
    <col collapsed="false" customWidth="true" hidden="false" outlineLevel="0" max="223" min="219" style="0" width="9"/>
  </cols>
  <sheetData>
    <row r="1" customFormat="false" ht="25.5" hidden="false" customHeight="true" outlineLevel="0" collapsed="false">
      <c r="A1" s="71" t="s">
        <v>913</v>
      </c>
      <c r="B1" s="71"/>
      <c r="C1" s="71"/>
      <c r="D1" s="71"/>
      <c r="E1" s="71"/>
      <c r="F1" s="71"/>
      <c r="G1" s="71"/>
    </row>
    <row r="2" customFormat="false" ht="15" hidden="false" customHeight="false" outlineLevel="0" collapsed="false">
      <c r="A2" s="48" t="s">
        <v>867</v>
      </c>
      <c r="B2" s="48"/>
      <c r="C2" s="48"/>
      <c r="D2" s="48"/>
      <c r="E2" s="48"/>
      <c r="F2" s="48"/>
      <c r="G2" s="48"/>
    </row>
    <row r="3" customFormat="false" ht="27.75" hidden="false" customHeight="true" outlineLevel="0" collapsed="false">
      <c r="A3" s="11" t="s">
        <v>868</v>
      </c>
      <c r="B3" s="49" t="s">
        <v>869</v>
      </c>
      <c r="C3" s="49"/>
      <c r="D3" s="49"/>
      <c r="E3" s="49"/>
      <c r="F3" s="49"/>
      <c r="G3" s="49"/>
      <c r="H3" s="49"/>
      <c r="I3" s="50" t="s">
        <v>870</v>
      </c>
      <c r="J3" s="50"/>
      <c r="K3" s="50"/>
      <c r="L3" s="50"/>
      <c r="M3" s="50"/>
      <c r="N3" s="50"/>
      <c r="O3" s="50"/>
      <c r="P3" s="51" t="s">
        <v>871</v>
      </c>
      <c r="Q3" s="51"/>
      <c r="R3" s="51"/>
      <c r="S3" s="51"/>
      <c r="T3" s="51"/>
      <c r="U3" s="51"/>
      <c r="V3" s="51"/>
      <c r="W3" s="52" t="s">
        <v>872</v>
      </c>
      <c r="X3" s="52"/>
      <c r="Y3" s="52"/>
      <c r="Z3" s="52"/>
      <c r="AA3" s="52"/>
      <c r="AB3" s="52"/>
      <c r="AC3" s="52"/>
      <c r="AD3" s="53" t="s">
        <v>873</v>
      </c>
      <c r="AE3" s="53"/>
      <c r="AF3" s="53"/>
      <c r="AG3" s="53"/>
      <c r="AH3" s="53"/>
      <c r="AI3" s="53"/>
      <c r="AJ3" s="53"/>
      <c r="AK3" s="54" t="s">
        <v>874</v>
      </c>
      <c r="AL3" s="54"/>
      <c r="AM3" s="54"/>
      <c r="AN3" s="54"/>
      <c r="AO3" s="54"/>
      <c r="AP3" s="54"/>
      <c r="AQ3" s="54"/>
      <c r="AR3" s="55" t="s">
        <v>875</v>
      </c>
      <c r="AS3" s="55"/>
      <c r="AT3" s="55"/>
      <c r="AU3" s="55"/>
      <c r="AV3" s="55"/>
      <c r="AW3" s="55"/>
      <c r="AX3" s="55"/>
      <c r="AY3" s="49" t="s">
        <v>876</v>
      </c>
      <c r="AZ3" s="49"/>
      <c r="BA3" s="49"/>
      <c r="BB3" s="49"/>
      <c r="BC3" s="49"/>
      <c r="BD3" s="49"/>
      <c r="BE3" s="49"/>
      <c r="BF3" s="50" t="s">
        <v>877</v>
      </c>
      <c r="BG3" s="50"/>
      <c r="BH3" s="50"/>
      <c r="BI3" s="50"/>
      <c r="BJ3" s="50"/>
      <c r="BK3" s="50"/>
      <c r="BL3" s="50"/>
      <c r="BM3" s="51" t="s">
        <v>878</v>
      </c>
      <c r="BN3" s="51"/>
      <c r="BO3" s="51"/>
      <c r="BP3" s="51"/>
      <c r="BQ3" s="51"/>
      <c r="BR3" s="51"/>
      <c r="BS3" s="51"/>
      <c r="BT3" s="52" t="s">
        <v>879</v>
      </c>
      <c r="BU3" s="52"/>
      <c r="BV3" s="52"/>
      <c r="BW3" s="52"/>
      <c r="BX3" s="52"/>
      <c r="BY3" s="52"/>
      <c r="BZ3" s="52"/>
      <c r="CA3" s="53" t="s">
        <v>880</v>
      </c>
      <c r="CB3" s="53"/>
      <c r="CC3" s="53"/>
      <c r="CD3" s="53"/>
      <c r="CE3" s="53"/>
      <c r="CF3" s="53"/>
      <c r="CG3" s="53"/>
      <c r="CH3" s="54" t="s">
        <v>881</v>
      </c>
      <c r="CI3" s="54"/>
      <c r="CJ3" s="54"/>
      <c r="CK3" s="54"/>
      <c r="CL3" s="54"/>
      <c r="CM3" s="54"/>
      <c r="CN3" s="54"/>
      <c r="CO3" s="55" t="s">
        <v>882</v>
      </c>
      <c r="CP3" s="55"/>
      <c r="CQ3" s="55"/>
      <c r="CR3" s="55"/>
      <c r="CS3" s="55"/>
      <c r="CT3" s="55"/>
      <c r="CU3" s="55"/>
      <c r="CV3" s="49" t="s">
        <v>883</v>
      </c>
      <c r="CW3" s="49"/>
      <c r="CX3" s="49"/>
      <c r="CY3" s="49"/>
      <c r="CZ3" s="49"/>
      <c r="DA3" s="49"/>
      <c r="DB3" s="49"/>
      <c r="DC3" s="50" t="s">
        <v>884</v>
      </c>
      <c r="DD3" s="50"/>
      <c r="DE3" s="50"/>
      <c r="DF3" s="50"/>
      <c r="DG3" s="50"/>
      <c r="DH3" s="50"/>
      <c r="DI3" s="50"/>
      <c r="DJ3" s="51" t="s">
        <v>885</v>
      </c>
      <c r="DK3" s="51"/>
      <c r="DL3" s="51"/>
      <c r="DM3" s="51"/>
      <c r="DN3" s="51"/>
      <c r="DO3" s="51"/>
      <c r="DP3" s="51"/>
      <c r="DQ3" s="52" t="s">
        <v>886</v>
      </c>
      <c r="DR3" s="52"/>
      <c r="DS3" s="52"/>
      <c r="DT3" s="52"/>
      <c r="DU3" s="52"/>
      <c r="DV3" s="52"/>
      <c r="DW3" s="52"/>
      <c r="DX3" s="53" t="s">
        <v>887</v>
      </c>
      <c r="DY3" s="53"/>
      <c r="DZ3" s="53"/>
      <c r="EA3" s="53"/>
      <c r="EB3" s="53"/>
      <c r="EC3" s="53"/>
      <c r="ED3" s="53"/>
      <c r="EE3" s="54" t="s">
        <v>888</v>
      </c>
      <c r="EF3" s="54"/>
      <c r="EG3" s="54"/>
      <c r="EH3" s="54"/>
      <c r="EI3" s="54"/>
      <c r="EJ3" s="54"/>
      <c r="EK3" s="54"/>
      <c r="EL3" s="55" t="s">
        <v>889</v>
      </c>
      <c r="EM3" s="55"/>
      <c r="EN3" s="55"/>
      <c r="EO3" s="55"/>
      <c r="EP3" s="55"/>
      <c r="EQ3" s="55"/>
      <c r="ER3" s="55"/>
      <c r="ES3" s="49" t="s">
        <v>890</v>
      </c>
      <c r="ET3" s="49"/>
      <c r="EU3" s="49"/>
      <c r="EV3" s="49"/>
      <c r="EW3" s="49"/>
      <c r="EX3" s="49"/>
      <c r="EY3" s="49"/>
      <c r="EZ3" s="50" t="s">
        <v>891</v>
      </c>
      <c r="FA3" s="50"/>
      <c r="FB3" s="50"/>
      <c r="FC3" s="50"/>
      <c r="FD3" s="50"/>
      <c r="FE3" s="50"/>
      <c r="FF3" s="50"/>
      <c r="FG3" s="51" t="s">
        <v>892</v>
      </c>
      <c r="FH3" s="51"/>
      <c r="FI3" s="51"/>
      <c r="FJ3" s="51"/>
      <c r="FK3" s="51"/>
      <c r="FL3" s="51"/>
      <c r="FM3" s="51"/>
      <c r="FN3" s="52" t="s">
        <v>893</v>
      </c>
      <c r="FO3" s="52"/>
      <c r="FP3" s="52"/>
      <c r="FQ3" s="52"/>
      <c r="FR3" s="52"/>
      <c r="FS3" s="52"/>
      <c r="FT3" s="52"/>
      <c r="FU3" s="53" t="s">
        <v>894</v>
      </c>
      <c r="FV3" s="53"/>
      <c r="FW3" s="53"/>
      <c r="FX3" s="53"/>
      <c r="FY3" s="53"/>
      <c r="FZ3" s="53"/>
      <c r="GA3" s="53"/>
      <c r="GB3" s="54" t="s">
        <v>895</v>
      </c>
      <c r="GC3" s="54"/>
      <c r="GD3" s="54"/>
      <c r="GE3" s="54"/>
      <c r="GF3" s="54"/>
      <c r="GG3" s="54"/>
      <c r="GH3" s="54"/>
      <c r="GI3" s="55" t="s">
        <v>896</v>
      </c>
      <c r="GJ3" s="55"/>
      <c r="GK3" s="55"/>
      <c r="GL3" s="55"/>
      <c r="GM3" s="55"/>
      <c r="GN3" s="55"/>
      <c r="GO3" s="55"/>
      <c r="GP3" s="49" t="s">
        <v>897</v>
      </c>
      <c r="GQ3" s="49"/>
      <c r="GR3" s="49"/>
      <c r="GS3" s="49"/>
      <c r="GT3" s="49"/>
      <c r="GU3" s="49"/>
      <c r="GV3" s="49"/>
      <c r="GW3" s="50" t="s">
        <v>898</v>
      </c>
      <c r="GX3" s="50"/>
      <c r="GY3" s="50"/>
      <c r="GZ3" s="50"/>
      <c r="HA3" s="50"/>
      <c r="HB3" s="50"/>
      <c r="HC3" s="50"/>
      <c r="HD3" s="51" t="s">
        <v>899</v>
      </c>
      <c r="HE3" s="51"/>
      <c r="HF3" s="51"/>
      <c r="HG3" s="51"/>
      <c r="HH3" s="51"/>
      <c r="HI3" s="51"/>
      <c r="HJ3" s="51"/>
      <c r="HK3" s="56" t="s">
        <v>900</v>
      </c>
      <c r="HL3" s="57" t="s">
        <v>901</v>
      </c>
      <c r="HM3" s="58" t="s">
        <v>902</v>
      </c>
      <c r="HN3" s="59" t="s">
        <v>903</v>
      </c>
      <c r="HO3" s="60" t="s">
        <v>904</v>
      </c>
    </row>
    <row r="4" customFormat="false" ht="13.5" hidden="false" customHeight="true" outlineLevel="0" collapsed="false">
      <c r="A4" s="11"/>
      <c r="B4" s="61" t="s">
        <v>905</v>
      </c>
      <c r="C4" s="61" t="s">
        <v>906</v>
      </c>
      <c r="D4" s="61" t="s">
        <v>907</v>
      </c>
      <c r="E4" s="61" t="s">
        <v>908</v>
      </c>
      <c r="F4" s="61" t="s">
        <v>909</v>
      </c>
      <c r="G4" s="61" t="s">
        <v>910</v>
      </c>
      <c r="H4" s="61" t="s">
        <v>911</v>
      </c>
      <c r="I4" s="61" t="s">
        <v>905</v>
      </c>
      <c r="J4" s="61" t="s">
        <v>906</v>
      </c>
      <c r="K4" s="61" t="s">
        <v>907</v>
      </c>
      <c r="L4" s="61" t="s">
        <v>908</v>
      </c>
      <c r="M4" s="61" t="s">
        <v>909</v>
      </c>
      <c r="N4" s="61" t="s">
        <v>910</v>
      </c>
      <c r="O4" s="61" t="s">
        <v>911</v>
      </c>
      <c r="P4" s="61" t="s">
        <v>905</v>
      </c>
      <c r="Q4" s="61" t="s">
        <v>906</v>
      </c>
      <c r="R4" s="61" t="s">
        <v>907</v>
      </c>
      <c r="S4" s="61" t="s">
        <v>908</v>
      </c>
      <c r="T4" s="61" t="s">
        <v>909</v>
      </c>
      <c r="U4" s="61" t="s">
        <v>910</v>
      </c>
      <c r="V4" s="61" t="s">
        <v>911</v>
      </c>
      <c r="W4" s="61" t="s">
        <v>905</v>
      </c>
      <c r="X4" s="61" t="s">
        <v>906</v>
      </c>
      <c r="Y4" s="61" t="s">
        <v>907</v>
      </c>
      <c r="Z4" s="61" t="s">
        <v>908</v>
      </c>
      <c r="AA4" s="61" t="s">
        <v>909</v>
      </c>
      <c r="AB4" s="61" t="s">
        <v>910</v>
      </c>
      <c r="AC4" s="61" t="s">
        <v>911</v>
      </c>
      <c r="AD4" s="61" t="s">
        <v>905</v>
      </c>
      <c r="AE4" s="61" t="s">
        <v>906</v>
      </c>
      <c r="AF4" s="61" t="s">
        <v>907</v>
      </c>
      <c r="AG4" s="61" t="s">
        <v>908</v>
      </c>
      <c r="AH4" s="61" t="s">
        <v>909</v>
      </c>
      <c r="AI4" s="61" t="s">
        <v>910</v>
      </c>
      <c r="AJ4" s="61" t="s">
        <v>911</v>
      </c>
      <c r="AK4" s="61" t="s">
        <v>905</v>
      </c>
      <c r="AL4" s="61" t="s">
        <v>906</v>
      </c>
      <c r="AM4" s="61" t="s">
        <v>907</v>
      </c>
      <c r="AN4" s="61" t="s">
        <v>908</v>
      </c>
      <c r="AO4" s="61" t="s">
        <v>909</v>
      </c>
      <c r="AP4" s="61" t="s">
        <v>910</v>
      </c>
      <c r="AQ4" s="61" t="s">
        <v>911</v>
      </c>
      <c r="AR4" s="61" t="s">
        <v>905</v>
      </c>
      <c r="AS4" s="61" t="s">
        <v>906</v>
      </c>
      <c r="AT4" s="61" t="s">
        <v>907</v>
      </c>
      <c r="AU4" s="61" t="s">
        <v>908</v>
      </c>
      <c r="AV4" s="61" t="s">
        <v>909</v>
      </c>
      <c r="AW4" s="61" t="s">
        <v>910</v>
      </c>
      <c r="AX4" s="61" t="s">
        <v>911</v>
      </c>
      <c r="AY4" s="61" t="s">
        <v>905</v>
      </c>
      <c r="AZ4" s="61" t="s">
        <v>906</v>
      </c>
      <c r="BA4" s="61" t="s">
        <v>907</v>
      </c>
      <c r="BB4" s="61" t="s">
        <v>908</v>
      </c>
      <c r="BC4" s="61" t="s">
        <v>909</v>
      </c>
      <c r="BD4" s="61" t="s">
        <v>910</v>
      </c>
      <c r="BE4" s="61" t="s">
        <v>911</v>
      </c>
      <c r="BF4" s="61" t="s">
        <v>905</v>
      </c>
      <c r="BG4" s="61" t="s">
        <v>906</v>
      </c>
      <c r="BH4" s="61" t="s">
        <v>907</v>
      </c>
      <c r="BI4" s="61" t="s">
        <v>908</v>
      </c>
      <c r="BJ4" s="61" t="s">
        <v>909</v>
      </c>
      <c r="BK4" s="61" t="s">
        <v>910</v>
      </c>
      <c r="BL4" s="61" t="s">
        <v>911</v>
      </c>
      <c r="BM4" s="61" t="s">
        <v>905</v>
      </c>
      <c r="BN4" s="61" t="s">
        <v>906</v>
      </c>
      <c r="BO4" s="61" t="s">
        <v>907</v>
      </c>
      <c r="BP4" s="61" t="s">
        <v>908</v>
      </c>
      <c r="BQ4" s="61" t="s">
        <v>909</v>
      </c>
      <c r="BR4" s="61" t="s">
        <v>910</v>
      </c>
      <c r="BS4" s="61" t="s">
        <v>911</v>
      </c>
      <c r="BT4" s="61" t="s">
        <v>905</v>
      </c>
      <c r="BU4" s="61" t="s">
        <v>906</v>
      </c>
      <c r="BV4" s="61" t="s">
        <v>907</v>
      </c>
      <c r="BW4" s="61" t="s">
        <v>908</v>
      </c>
      <c r="BX4" s="61" t="s">
        <v>909</v>
      </c>
      <c r="BY4" s="61" t="s">
        <v>910</v>
      </c>
      <c r="BZ4" s="61" t="s">
        <v>911</v>
      </c>
      <c r="CA4" s="61" t="s">
        <v>905</v>
      </c>
      <c r="CB4" s="61" t="s">
        <v>906</v>
      </c>
      <c r="CC4" s="61" t="s">
        <v>907</v>
      </c>
      <c r="CD4" s="61" t="s">
        <v>908</v>
      </c>
      <c r="CE4" s="61" t="s">
        <v>909</v>
      </c>
      <c r="CF4" s="61" t="s">
        <v>910</v>
      </c>
      <c r="CG4" s="61" t="s">
        <v>911</v>
      </c>
      <c r="CH4" s="61" t="s">
        <v>905</v>
      </c>
      <c r="CI4" s="61" t="s">
        <v>906</v>
      </c>
      <c r="CJ4" s="61" t="s">
        <v>907</v>
      </c>
      <c r="CK4" s="61" t="s">
        <v>908</v>
      </c>
      <c r="CL4" s="61" t="s">
        <v>909</v>
      </c>
      <c r="CM4" s="61" t="s">
        <v>910</v>
      </c>
      <c r="CN4" s="61" t="s">
        <v>911</v>
      </c>
      <c r="CO4" s="61" t="s">
        <v>905</v>
      </c>
      <c r="CP4" s="61" t="s">
        <v>906</v>
      </c>
      <c r="CQ4" s="61" t="s">
        <v>907</v>
      </c>
      <c r="CR4" s="61" t="s">
        <v>908</v>
      </c>
      <c r="CS4" s="61" t="s">
        <v>909</v>
      </c>
      <c r="CT4" s="61" t="s">
        <v>910</v>
      </c>
      <c r="CU4" s="61" t="s">
        <v>911</v>
      </c>
      <c r="CV4" s="61" t="s">
        <v>905</v>
      </c>
      <c r="CW4" s="61" t="s">
        <v>906</v>
      </c>
      <c r="CX4" s="61" t="s">
        <v>907</v>
      </c>
      <c r="CY4" s="61" t="s">
        <v>908</v>
      </c>
      <c r="CZ4" s="61" t="s">
        <v>909</v>
      </c>
      <c r="DA4" s="61" t="s">
        <v>910</v>
      </c>
      <c r="DB4" s="61" t="s">
        <v>911</v>
      </c>
      <c r="DC4" s="61" t="s">
        <v>905</v>
      </c>
      <c r="DD4" s="61" t="s">
        <v>906</v>
      </c>
      <c r="DE4" s="61" t="s">
        <v>907</v>
      </c>
      <c r="DF4" s="61" t="s">
        <v>908</v>
      </c>
      <c r="DG4" s="61" t="s">
        <v>909</v>
      </c>
      <c r="DH4" s="61" t="s">
        <v>910</v>
      </c>
      <c r="DI4" s="61" t="s">
        <v>911</v>
      </c>
      <c r="DJ4" s="61" t="s">
        <v>905</v>
      </c>
      <c r="DK4" s="61" t="s">
        <v>906</v>
      </c>
      <c r="DL4" s="61" t="s">
        <v>907</v>
      </c>
      <c r="DM4" s="61" t="s">
        <v>908</v>
      </c>
      <c r="DN4" s="61" t="s">
        <v>909</v>
      </c>
      <c r="DO4" s="61" t="s">
        <v>910</v>
      </c>
      <c r="DP4" s="61" t="s">
        <v>911</v>
      </c>
      <c r="DQ4" s="61" t="s">
        <v>905</v>
      </c>
      <c r="DR4" s="61" t="s">
        <v>906</v>
      </c>
      <c r="DS4" s="61" t="s">
        <v>907</v>
      </c>
      <c r="DT4" s="61" t="s">
        <v>908</v>
      </c>
      <c r="DU4" s="61" t="s">
        <v>909</v>
      </c>
      <c r="DV4" s="61" t="s">
        <v>910</v>
      </c>
      <c r="DW4" s="61" t="s">
        <v>911</v>
      </c>
      <c r="DX4" s="61" t="s">
        <v>905</v>
      </c>
      <c r="DY4" s="61" t="s">
        <v>906</v>
      </c>
      <c r="DZ4" s="61" t="s">
        <v>907</v>
      </c>
      <c r="EA4" s="61" t="s">
        <v>908</v>
      </c>
      <c r="EB4" s="61" t="s">
        <v>909</v>
      </c>
      <c r="EC4" s="61" t="s">
        <v>910</v>
      </c>
      <c r="ED4" s="61" t="s">
        <v>911</v>
      </c>
      <c r="EE4" s="61" t="s">
        <v>905</v>
      </c>
      <c r="EF4" s="61" t="s">
        <v>906</v>
      </c>
      <c r="EG4" s="61" t="s">
        <v>907</v>
      </c>
      <c r="EH4" s="61" t="s">
        <v>908</v>
      </c>
      <c r="EI4" s="61" t="s">
        <v>909</v>
      </c>
      <c r="EJ4" s="61" t="s">
        <v>910</v>
      </c>
      <c r="EK4" s="61" t="s">
        <v>911</v>
      </c>
      <c r="EL4" s="61" t="s">
        <v>905</v>
      </c>
      <c r="EM4" s="61" t="s">
        <v>906</v>
      </c>
      <c r="EN4" s="61" t="s">
        <v>907</v>
      </c>
      <c r="EO4" s="61" t="s">
        <v>908</v>
      </c>
      <c r="EP4" s="61" t="s">
        <v>909</v>
      </c>
      <c r="EQ4" s="61" t="s">
        <v>910</v>
      </c>
      <c r="ER4" s="61" t="s">
        <v>911</v>
      </c>
      <c r="ES4" s="61" t="s">
        <v>905</v>
      </c>
      <c r="ET4" s="61" t="s">
        <v>906</v>
      </c>
      <c r="EU4" s="61" t="s">
        <v>907</v>
      </c>
      <c r="EV4" s="61" t="s">
        <v>908</v>
      </c>
      <c r="EW4" s="61" t="s">
        <v>909</v>
      </c>
      <c r="EX4" s="61" t="s">
        <v>910</v>
      </c>
      <c r="EY4" s="61" t="s">
        <v>911</v>
      </c>
      <c r="EZ4" s="61" t="s">
        <v>905</v>
      </c>
      <c r="FA4" s="61" t="s">
        <v>906</v>
      </c>
      <c r="FB4" s="61" t="s">
        <v>907</v>
      </c>
      <c r="FC4" s="61" t="s">
        <v>908</v>
      </c>
      <c r="FD4" s="61" t="s">
        <v>909</v>
      </c>
      <c r="FE4" s="61" t="s">
        <v>910</v>
      </c>
      <c r="FF4" s="61" t="s">
        <v>911</v>
      </c>
      <c r="FG4" s="61" t="s">
        <v>905</v>
      </c>
      <c r="FH4" s="61" t="s">
        <v>906</v>
      </c>
      <c r="FI4" s="61" t="s">
        <v>907</v>
      </c>
      <c r="FJ4" s="61" t="s">
        <v>908</v>
      </c>
      <c r="FK4" s="61" t="s">
        <v>909</v>
      </c>
      <c r="FL4" s="61" t="s">
        <v>910</v>
      </c>
      <c r="FM4" s="61" t="s">
        <v>911</v>
      </c>
      <c r="FN4" s="61" t="s">
        <v>905</v>
      </c>
      <c r="FO4" s="61" t="s">
        <v>906</v>
      </c>
      <c r="FP4" s="61" t="s">
        <v>907</v>
      </c>
      <c r="FQ4" s="61" t="s">
        <v>908</v>
      </c>
      <c r="FR4" s="61" t="s">
        <v>909</v>
      </c>
      <c r="FS4" s="61" t="s">
        <v>910</v>
      </c>
      <c r="FT4" s="61" t="s">
        <v>911</v>
      </c>
      <c r="FU4" s="61" t="s">
        <v>905</v>
      </c>
      <c r="FV4" s="61" t="s">
        <v>906</v>
      </c>
      <c r="FW4" s="61" t="s">
        <v>907</v>
      </c>
      <c r="FX4" s="61" t="s">
        <v>908</v>
      </c>
      <c r="FY4" s="61" t="s">
        <v>909</v>
      </c>
      <c r="FZ4" s="61" t="s">
        <v>910</v>
      </c>
      <c r="GA4" s="61" t="s">
        <v>911</v>
      </c>
      <c r="GB4" s="61" t="s">
        <v>905</v>
      </c>
      <c r="GC4" s="61" t="s">
        <v>906</v>
      </c>
      <c r="GD4" s="61" t="s">
        <v>907</v>
      </c>
      <c r="GE4" s="61" t="s">
        <v>908</v>
      </c>
      <c r="GF4" s="61" t="s">
        <v>909</v>
      </c>
      <c r="GG4" s="61" t="s">
        <v>910</v>
      </c>
      <c r="GH4" s="61" t="s">
        <v>911</v>
      </c>
      <c r="GI4" s="61" t="s">
        <v>905</v>
      </c>
      <c r="GJ4" s="61" t="s">
        <v>906</v>
      </c>
      <c r="GK4" s="61" t="s">
        <v>907</v>
      </c>
      <c r="GL4" s="61" t="s">
        <v>908</v>
      </c>
      <c r="GM4" s="61" t="s">
        <v>909</v>
      </c>
      <c r="GN4" s="61" t="s">
        <v>910</v>
      </c>
      <c r="GO4" s="61" t="s">
        <v>911</v>
      </c>
      <c r="GP4" s="61" t="s">
        <v>905</v>
      </c>
      <c r="GQ4" s="61" t="s">
        <v>906</v>
      </c>
      <c r="GR4" s="61" t="s">
        <v>907</v>
      </c>
      <c r="GS4" s="61" t="s">
        <v>908</v>
      </c>
      <c r="GT4" s="61" t="s">
        <v>909</v>
      </c>
      <c r="GU4" s="61" t="s">
        <v>910</v>
      </c>
      <c r="GV4" s="61" t="s">
        <v>911</v>
      </c>
      <c r="GW4" s="61" t="s">
        <v>905</v>
      </c>
      <c r="GX4" s="61" t="s">
        <v>906</v>
      </c>
      <c r="GY4" s="61" t="s">
        <v>907</v>
      </c>
      <c r="GZ4" s="61" t="s">
        <v>908</v>
      </c>
      <c r="HA4" s="61" t="s">
        <v>909</v>
      </c>
      <c r="HB4" s="61" t="s">
        <v>910</v>
      </c>
      <c r="HC4" s="61" t="s">
        <v>911</v>
      </c>
      <c r="HD4" s="61" t="s">
        <v>905</v>
      </c>
      <c r="HE4" s="61" t="s">
        <v>906</v>
      </c>
      <c r="HF4" s="61" t="s">
        <v>907</v>
      </c>
      <c r="HG4" s="61" t="s">
        <v>908</v>
      </c>
      <c r="HH4" s="61" t="s">
        <v>909</v>
      </c>
      <c r="HI4" s="61" t="s">
        <v>910</v>
      </c>
      <c r="HJ4" s="61" t="s">
        <v>911</v>
      </c>
      <c r="HK4" s="56"/>
      <c r="HL4" s="56"/>
      <c r="HM4" s="56"/>
      <c r="HN4" s="56"/>
      <c r="HO4" s="56"/>
    </row>
    <row r="5" customFormat="false" ht="15.75" hidden="false" customHeight="true" outlineLevel="0" collapsed="false">
      <c r="A5" s="62" t="str">
        <f aca="false">Roster!B5</f>
        <v>Resident 1</v>
      </c>
      <c r="B5" s="63"/>
      <c r="C5" s="63"/>
      <c r="D5" s="63"/>
      <c r="E5" s="63"/>
      <c r="F5" s="63"/>
      <c r="G5" s="63"/>
      <c r="H5" s="63"/>
      <c r="I5" s="64"/>
      <c r="J5" s="64"/>
      <c r="K5" s="64"/>
      <c r="L5" s="64"/>
      <c r="M5" s="64"/>
      <c r="N5" s="64"/>
      <c r="O5" s="64"/>
      <c r="P5" s="63"/>
      <c r="Q5" s="63"/>
      <c r="R5" s="63"/>
      <c r="S5" s="63"/>
      <c r="T5" s="63"/>
      <c r="U5" s="63"/>
      <c r="V5" s="63"/>
      <c r="W5" s="64"/>
      <c r="X5" s="64"/>
      <c r="Y5" s="64"/>
      <c r="Z5" s="64"/>
      <c r="AA5" s="64"/>
      <c r="AB5" s="64"/>
      <c r="AC5" s="64"/>
      <c r="AD5" s="63"/>
      <c r="AE5" s="63"/>
      <c r="AF5" s="63"/>
      <c r="AG5" s="63"/>
      <c r="AH5" s="63"/>
      <c r="AI5" s="63"/>
      <c r="AJ5" s="63"/>
      <c r="AK5" s="64"/>
      <c r="AL5" s="64"/>
      <c r="AM5" s="64"/>
      <c r="AN5" s="64"/>
      <c r="AO5" s="64"/>
      <c r="AP5" s="64"/>
      <c r="AQ5" s="64"/>
      <c r="AR5" s="63"/>
      <c r="AS5" s="63"/>
      <c r="AT5" s="63"/>
      <c r="AU5" s="63"/>
      <c r="AV5" s="63"/>
      <c r="AW5" s="63"/>
      <c r="AX5" s="63"/>
      <c r="AY5" s="64"/>
      <c r="AZ5" s="64"/>
      <c r="BA5" s="64"/>
      <c r="BB5" s="64"/>
      <c r="BC5" s="64"/>
      <c r="BD5" s="64"/>
      <c r="BE5" s="64"/>
      <c r="BF5" s="63"/>
      <c r="BG5" s="63"/>
      <c r="BH5" s="63"/>
      <c r="BI5" s="63"/>
      <c r="BJ5" s="63"/>
      <c r="BK5" s="63"/>
      <c r="BL5" s="63"/>
      <c r="BM5" s="64"/>
      <c r="BN5" s="64"/>
      <c r="BO5" s="64"/>
      <c r="BP5" s="64"/>
      <c r="BQ5" s="64"/>
      <c r="BR5" s="64"/>
      <c r="BS5" s="64"/>
      <c r="BT5" s="63"/>
      <c r="BU5" s="63"/>
      <c r="BV5" s="63"/>
      <c r="BW5" s="63"/>
      <c r="BX5" s="63"/>
      <c r="BY5" s="63"/>
      <c r="BZ5" s="63"/>
      <c r="CA5" s="64"/>
      <c r="CB5" s="64"/>
      <c r="CC5" s="64"/>
      <c r="CD5" s="64"/>
      <c r="CE5" s="64"/>
      <c r="CF5" s="64"/>
      <c r="CG5" s="64"/>
      <c r="CH5" s="63"/>
      <c r="CI5" s="63"/>
      <c r="CJ5" s="63"/>
      <c r="CK5" s="63"/>
      <c r="CL5" s="63"/>
      <c r="CM5" s="63"/>
      <c r="CN5" s="63"/>
      <c r="CO5" s="64"/>
      <c r="CP5" s="64"/>
      <c r="CQ5" s="64"/>
      <c r="CR5" s="64"/>
      <c r="CS5" s="64"/>
      <c r="CT5" s="64"/>
      <c r="CU5" s="64"/>
      <c r="CV5" s="63"/>
      <c r="CW5" s="63"/>
      <c r="CX5" s="63"/>
      <c r="CY5" s="63"/>
      <c r="CZ5" s="63"/>
      <c r="DA5" s="63"/>
      <c r="DB5" s="63"/>
      <c r="DC5" s="64"/>
      <c r="DD5" s="64"/>
      <c r="DE5" s="64"/>
      <c r="DF5" s="64"/>
      <c r="DG5" s="64"/>
      <c r="DH5" s="64"/>
      <c r="DI5" s="64"/>
      <c r="DJ5" s="63"/>
      <c r="DK5" s="63"/>
      <c r="DL5" s="63"/>
      <c r="DM5" s="63"/>
      <c r="DN5" s="63"/>
      <c r="DO5" s="63"/>
      <c r="DP5" s="63"/>
      <c r="DQ5" s="64"/>
      <c r="DR5" s="64"/>
      <c r="DS5" s="64"/>
      <c r="DT5" s="64"/>
      <c r="DU5" s="64"/>
      <c r="DV5" s="64"/>
      <c r="DW5" s="64"/>
      <c r="DX5" s="63"/>
      <c r="DY5" s="63"/>
      <c r="DZ5" s="63"/>
      <c r="EA5" s="63"/>
      <c r="EB5" s="63"/>
      <c r="EC5" s="63"/>
      <c r="ED5" s="63"/>
      <c r="EE5" s="64"/>
      <c r="EF5" s="64"/>
      <c r="EG5" s="64"/>
      <c r="EH5" s="64"/>
      <c r="EI5" s="64"/>
      <c r="EJ5" s="64"/>
      <c r="EK5" s="64"/>
      <c r="EL5" s="63"/>
      <c r="EM5" s="63"/>
      <c r="EN5" s="63"/>
      <c r="EO5" s="63"/>
      <c r="EP5" s="63"/>
      <c r="EQ5" s="63"/>
      <c r="ER5" s="63"/>
      <c r="ES5" s="64"/>
      <c r="ET5" s="64"/>
      <c r="EU5" s="64"/>
      <c r="EV5" s="64"/>
      <c r="EW5" s="64"/>
      <c r="EX5" s="64"/>
      <c r="EY5" s="64"/>
      <c r="EZ5" s="63"/>
      <c r="FA5" s="63"/>
      <c r="FB5" s="63"/>
      <c r="FC5" s="63"/>
      <c r="FD5" s="63"/>
      <c r="FE5" s="63"/>
      <c r="FF5" s="63"/>
      <c r="FG5" s="64"/>
      <c r="FH5" s="64"/>
      <c r="FI5" s="64"/>
      <c r="FJ5" s="64"/>
      <c r="FK5" s="64"/>
      <c r="FL5" s="64"/>
      <c r="FM5" s="64"/>
      <c r="FN5" s="63"/>
      <c r="FO5" s="63"/>
      <c r="FP5" s="63"/>
      <c r="FQ5" s="63"/>
      <c r="FR5" s="63"/>
      <c r="FS5" s="63"/>
      <c r="FT5" s="63"/>
      <c r="FU5" s="64"/>
      <c r="FV5" s="64"/>
      <c r="FW5" s="64"/>
      <c r="FX5" s="64"/>
      <c r="FY5" s="64"/>
      <c r="FZ5" s="64"/>
      <c r="GA5" s="64"/>
      <c r="GB5" s="63"/>
      <c r="GC5" s="63"/>
      <c r="GD5" s="63"/>
      <c r="GE5" s="63"/>
      <c r="GF5" s="63"/>
      <c r="GG5" s="63"/>
      <c r="GH5" s="63"/>
      <c r="GI5" s="64"/>
      <c r="GJ5" s="64"/>
      <c r="GK5" s="64"/>
      <c r="GL5" s="64"/>
      <c r="GM5" s="64"/>
      <c r="GN5" s="64"/>
      <c r="GO5" s="64"/>
      <c r="GP5" s="63"/>
      <c r="GQ5" s="63"/>
      <c r="GR5" s="63"/>
      <c r="GS5" s="63"/>
      <c r="GT5" s="63"/>
      <c r="GU5" s="63"/>
      <c r="GV5" s="63"/>
      <c r="GW5" s="64"/>
      <c r="GX5" s="64"/>
      <c r="GY5" s="64"/>
      <c r="GZ5" s="64"/>
      <c r="HA5" s="64"/>
      <c r="HB5" s="64"/>
      <c r="HC5" s="64"/>
      <c r="HD5" s="63"/>
      <c r="HE5" s="63"/>
      <c r="HF5" s="63"/>
      <c r="HG5" s="63"/>
      <c r="HH5" s="63"/>
      <c r="HI5" s="63"/>
      <c r="HJ5" s="63"/>
      <c r="HK5" s="65" t="n">
        <f aca="false">COUNTIF(B5:HJ5,"A")</f>
        <v>0</v>
      </c>
      <c r="HL5" s="66" t="n">
        <f aca="false">COUNTIF(B5:HJ5,"O")</f>
        <v>0</v>
      </c>
      <c r="HM5" s="67" t="n">
        <f aca="false">COUNTIF(B5:HJ5,"D")</f>
        <v>0</v>
      </c>
      <c r="HN5" s="68" t="n">
        <f aca="false">COUNTIF(B5:HJ5,"N/A")</f>
        <v>0</v>
      </c>
      <c r="HO5" s="69" t="n">
        <f aca="false">IFERROR((HK5+HL5)/(HK5+HL5+HM5),0)</f>
        <v>0</v>
      </c>
    </row>
    <row r="6" customFormat="false" ht="15.75" hidden="false" customHeight="true" outlineLevel="0" collapsed="false">
      <c r="A6" s="62" t="str">
        <f aca="false">Roster!B6</f>
        <v>Resident 2</v>
      </c>
      <c r="B6" s="63"/>
      <c r="C6" s="63"/>
      <c r="D6" s="63"/>
      <c r="E6" s="63"/>
      <c r="F6" s="63"/>
      <c r="G6" s="63"/>
      <c r="H6" s="63"/>
      <c r="I6" s="64"/>
      <c r="J6" s="64"/>
      <c r="K6" s="64"/>
      <c r="L6" s="64"/>
      <c r="M6" s="64"/>
      <c r="N6" s="64"/>
      <c r="O6" s="64"/>
      <c r="P6" s="63"/>
      <c r="Q6" s="63"/>
      <c r="R6" s="63"/>
      <c r="S6" s="63"/>
      <c r="T6" s="63"/>
      <c r="U6" s="63"/>
      <c r="V6" s="63"/>
      <c r="W6" s="64"/>
      <c r="X6" s="64"/>
      <c r="Y6" s="64"/>
      <c r="Z6" s="64"/>
      <c r="AA6" s="64"/>
      <c r="AB6" s="64"/>
      <c r="AC6" s="64"/>
      <c r="AD6" s="63"/>
      <c r="AE6" s="63"/>
      <c r="AF6" s="63"/>
      <c r="AG6" s="63"/>
      <c r="AH6" s="63"/>
      <c r="AI6" s="63"/>
      <c r="AJ6" s="63"/>
      <c r="AK6" s="64"/>
      <c r="AL6" s="64"/>
      <c r="AM6" s="64"/>
      <c r="AN6" s="64"/>
      <c r="AO6" s="64"/>
      <c r="AP6" s="64"/>
      <c r="AQ6" s="64"/>
      <c r="AR6" s="63"/>
      <c r="AS6" s="63"/>
      <c r="AT6" s="63"/>
      <c r="AU6" s="63"/>
      <c r="AV6" s="63"/>
      <c r="AW6" s="63"/>
      <c r="AX6" s="63"/>
      <c r="AY6" s="64"/>
      <c r="AZ6" s="64"/>
      <c r="BA6" s="64"/>
      <c r="BB6" s="64"/>
      <c r="BC6" s="64"/>
      <c r="BD6" s="64"/>
      <c r="BE6" s="64"/>
      <c r="BF6" s="63"/>
      <c r="BG6" s="63"/>
      <c r="BH6" s="63"/>
      <c r="BI6" s="63"/>
      <c r="BJ6" s="63"/>
      <c r="BK6" s="63"/>
      <c r="BL6" s="63"/>
      <c r="BM6" s="64"/>
      <c r="BN6" s="64"/>
      <c r="BO6" s="64"/>
      <c r="BP6" s="64"/>
      <c r="BQ6" s="64"/>
      <c r="BR6" s="64"/>
      <c r="BS6" s="64"/>
      <c r="BT6" s="63"/>
      <c r="BU6" s="63"/>
      <c r="BV6" s="63"/>
      <c r="BW6" s="63"/>
      <c r="BX6" s="63"/>
      <c r="BY6" s="63"/>
      <c r="BZ6" s="63"/>
      <c r="CA6" s="64"/>
      <c r="CB6" s="64"/>
      <c r="CC6" s="64"/>
      <c r="CD6" s="64"/>
      <c r="CE6" s="64"/>
      <c r="CF6" s="64"/>
      <c r="CG6" s="64"/>
      <c r="CH6" s="63"/>
      <c r="CI6" s="63"/>
      <c r="CJ6" s="63"/>
      <c r="CK6" s="63"/>
      <c r="CL6" s="63"/>
      <c r="CM6" s="63"/>
      <c r="CN6" s="63"/>
      <c r="CO6" s="64"/>
      <c r="CP6" s="64"/>
      <c r="CQ6" s="64"/>
      <c r="CR6" s="64"/>
      <c r="CS6" s="64"/>
      <c r="CT6" s="64"/>
      <c r="CU6" s="64"/>
      <c r="CV6" s="63"/>
      <c r="CW6" s="63"/>
      <c r="CX6" s="63"/>
      <c r="CY6" s="63"/>
      <c r="CZ6" s="63"/>
      <c r="DA6" s="63"/>
      <c r="DB6" s="63"/>
      <c r="DC6" s="64"/>
      <c r="DD6" s="64"/>
      <c r="DE6" s="64"/>
      <c r="DF6" s="64"/>
      <c r="DG6" s="64"/>
      <c r="DH6" s="64"/>
      <c r="DI6" s="64"/>
      <c r="DJ6" s="63"/>
      <c r="DK6" s="63"/>
      <c r="DL6" s="63"/>
      <c r="DM6" s="63"/>
      <c r="DN6" s="63"/>
      <c r="DO6" s="63"/>
      <c r="DP6" s="63"/>
      <c r="DQ6" s="64"/>
      <c r="DR6" s="64"/>
      <c r="DS6" s="64"/>
      <c r="DT6" s="64"/>
      <c r="DU6" s="64"/>
      <c r="DV6" s="64"/>
      <c r="DW6" s="64"/>
      <c r="DX6" s="63"/>
      <c r="DY6" s="63"/>
      <c r="DZ6" s="63"/>
      <c r="EA6" s="63"/>
      <c r="EB6" s="63"/>
      <c r="EC6" s="63"/>
      <c r="ED6" s="63"/>
      <c r="EE6" s="64"/>
      <c r="EF6" s="64"/>
      <c r="EG6" s="64"/>
      <c r="EH6" s="64"/>
      <c r="EI6" s="64"/>
      <c r="EJ6" s="64"/>
      <c r="EK6" s="64"/>
      <c r="EL6" s="63"/>
      <c r="EM6" s="63"/>
      <c r="EN6" s="63"/>
      <c r="EO6" s="63"/>
      <c r="EP6" s="63"/>
      <c r="EQ6" s="63"/>
      <c r="ER6" s="63"/>
      <c r="ES6" s="64"/>
      <c r="ET6" s="64"/>
      <c r="EU6" s="64"/>
      <c r="EV6" s="64"/>
      <c r="EW6" s="64"/>
      <c r="EX6" s="64"/>
      <c r="EY6" s="64"/>
      <c r="EZ6" s="63"/>
      <c r="FA6" s="63"/>
      <c r="FB6" s="63"/>
      <c r="FC6" s="63"/>
      <c r="FD6" s="63"/>
      <c r="FE6" s="63"/>
      <c r="FF6" s="63"/>
      <c r="FG6" s="64"/>
      <c r="FH6" s="64"/>
      <c r="FI6" s="64"/>
      <c r="FJ6" s="64"/>
      <c r="FK6" s="64"/>
      <c r="FL6" s="64"/>
      <c r="FM6" s="64"/>
      <c r="FN6" s="63"/>
      <c r="FO6" s="63"/>
      <c r="FP6" s="63"/>
      <c r="FQ6" s="63"/>
      <c r="FR6" s="63"/>
      <c r="FS6" s="63"/>
      <c r="FT6" s="63"/>
      <c r="FU6" s="64"/>
      <c r="FV6" s="64"/>
      <c r="FW6" s="64"/>
      <c r="FX6" s="64"/>
      <c r="FY6" s="64"/>
      <c r="FZ6" s="64"/>
      <c r="GA6" s="64"/>
      <c r="GB6" s="63"/>
      <c r="GC6" s="63"/>
      <c r="GD6" s="63"/>
      <c r="GE6" s="63"/>
      <c r="GF6" s="63"/>
      <c r="GG6" s="63"/>
      <c r="GH6" s="63"/>
      <c r="GI6" s="64"/>
      <c r="GJ6" s="64"/>
      <c r="GK6" s="64"/>
      <c r="GL6" s="64"/>
      <c r="GM6" s="64"/>
      <c r="GN6" s="64"/>
      <c r="GO6" s="64"/>
      <c r="GP6" s="63"/>
      <c r="GQ6" s="63"/>
      <c r="GR6" s="63"/>
      <c r="GS6" s="63"/>
      <c r="GT6" s="63"/>
      <c r="GU6" s="63"/>
      <c r="GV6" s="63"/>
      <c r="GW6" s="64"/>
      <c r="GX6" s="64"/>
      <c r="GY6" s="64"/>
      <c r="GZ6" s="64"/>
      <c r="HA6" s="64"/>
      <c r="HB6" s="64"/>
      <c r="HC6" s="64"/>
      <c r="HD6" s="63"/>
      <c r="HE6" s="63"/>
      <c r="HF6" s="63"/>
      <c r="HG6" s="63"/>
      <c r="HH6" s="63"/>
      <c r="HI6" s="63"/>
      <c r="HJ6" s="63"/>
      <c r="HK6" s="65" t="n">
        <f aca="false">COUNTIF(B6:HJ6,"A")</f>
        <v>0</v>
      </c>
      <c r="HL6" s="66" t="n">
        <f aca="false">COUNTIF(B6:HJ6,"O")</f>
        <v>0</v>
      </c>
      <c r="HM6" s="67" t="n">
        <f aca="false">COUNTIF(B6:HJ6,"D")</f>
        <v>0</v>
      </c>
      <c r="HN6" s="68" t="n">
        <f aca="false">COUNTIF(B6:HJ6,"N/A")</f>
        <v>0</v>
      </c>
      <c r="HO6" s="69" t="n">
        <f aca="false">IFERROR((HK6+HL6)/(HK6+HL6+HM6),0)</f>
        <v>0</v>
      </c>
    </row>
    <row r="7" customFormat="false" ht="15.75" hidden="false" customHeight="true" outlineLevel="0" collapsed="false">
      <c r="A7" s="62" t="str">
        <f aca="false">Roster!B7</f>
        <v>Resident 3</v>
      </c>
      <c r="B7" s="63"/>
      <c r="C7" s="63"/>
      <c r="D7" s="63"/>
      <c r="E7" s="63"/>
      <c r="F7" s="63"/>
      <c r="G7" s="63"/>
      <c r="H7" s="63"/>
      <c r="I7" s="64"/>
      <c r="J7" s="64"/>
      <c r="K7" s="64"/>
      <c r="L7" s="64"/>
      <c r="M7" s="64"/>
      <c r="N7" s="64"/>
      <c r="O7" s="64"/>
      <c r="P7" s="63"/>
      <c r="Q7" s="63"/>
      <c r="R7" s="63"/>
      <c r="S7" s="63"/>
      <c r="T7" s="63"/>
      <c r="U7" s="63"/>
      <c r="V7" s="63"/>
      <c r="W7" s="64"/>
      <c r="X7" s="64"/>
      <c r="Y7" s="64"/>
      <c r="Z7" s="64"/>
      <c r="AA7" s="64"/>
      <c r="AB7" s="64"/>
      <c r="AC7" s="64"/>
      <c r="AD7" s="63"/>
      <c r="AE7" s="63"/>
      <c r="AF7" s="63"/>
      <c r="AG7" s="63"/>
      <c r="AH7" s="63"/>
      <c r="AI7" s="63"/>
      <c r="AJ7" s="63"/>
      <c r="AK7" s="64"/>
      <c r="AL7" s="64"/>
      <c r="AM7" s="64"/>
      <c r="AN7" s="64"/>
      <c r="AO7" s="64"/>
      <c r="AP7" s="64"/>
      <c r="AQ7" s="64"/>
      <c r="AR7" s="63"/>
      <c r="AS7" s="63"/>
      <c r="AT7" s="63"/>
      <c r="AU7" s="63"/>
      <c r="AV7" s="63"/>
      <c r="AW7" s="63"/>
      <c r="AX7" s="63"/>
      <c r="AY7" s="64"/>
      <c r="AZ7" s="64"/>
      <c r="BA7" s="64"/>
      <c r="BB7" s="64"/>
      <c r="BC7" s="64"/>
      <c r="BD7" s="64"/>
      <c r="BE7" s="64"/>
      <c r="BF7" s="63"/>
      <c r="BG7" s="63"/>
      <c r="BH7" s="63"/>
      <c r="BI7" s="63"/>
      <c r="BJ7" s="63"/>
      <c r="BK7" s="63"/>
      <c r="BL7" s="63"/>
      <c r="BM7" s="64"/>
      <c r="BN7" s="64"/>
      <c r="BO7" s="64"/>
      <c r="BP7" s="64"/>
      <c r="BQ7" s="64"/>
      <c r="BR7" s="64"/>
      <c r="BS7" s="64"/>
      <c r="BT7" s="63"/>
      <c r="BU7" s="63"/>
      <c r="BV7" s="63"/>
      <c r="BW7" s="63"/>
      <c r="BX7" s="63"/>
      <c r="BY7" s="63"/>
      <c r="BZ7" s="63"/>
      <c r="CA7" s="64"/>
      <c r="CB7" s="64"/>
      <c r="CC7" s="64"/>
      <c r="CD7" s="64"/>
      <c r="CE7" s="64"/>
      <c r="CF7" s="64"/>
      <c r="CG7" s="64"/>
      <c r="CH7" s="63"/>
      <c r="CI7" s="63"/>
      <c r="CJ7" s="63"/>
      <c r="CK7" s="63"/>
      <c r="CL7" s="63"/>
      <c r="CM7" s="63"/>
      <c r="CN7" s="63"/>
      <c r="CO7" s="64"/>
      <c r="CP7" s="64"/>
      <c r="CQ7" s="64"/>
      <c r="CR7" s="64"/>
      <c r="CS7" s="64"/>
      <c r="CT7" s="64"/>
      <c r="CU7" s="64"/>
      <c r="CV7" s="63"/>
      <c r="CW7" s="63"/>
      <c r="CX7" s="63"/>
      <c r="CY7" s="63"/>
      <c r="CZ7" s="63"/>
      <c r="DA7" s="63"/>
      <c r="DB7" s="63"/>
      <c r="DC7" s="64"/>
      <c r="DD7" s="64"/>
      <c r="DE7" s="64"/>
      <c r="DF7" s="64"/>
      <c r="DG7" s="64"/>
      <c r="DH7" s="64"/>
      <c r="DI7" s="64"/>
      <c r="DJ7" s="63"/>
      <c r="DK7" s="63"/>
      <c r="DL7" s="63"/>
      <c r="DM7" s="63"/>
      <c r="DN7" s="63"/>
      <c r="DO7" s="63"/>
      <c r="DP7" s="63"/>
      <c r="DQ7" s="64"/>
      <c r="DR7" s="64"/>
      <c r="DS7" s="64"/>
      <c r="DT7" s="64"/>
      <c r="DU7" s="64"/>
      <c r="DV7" s="64"/>
      <c r="DW7" s="64"/>
      <c r="DX7" s="63"/>
      <c r="DY7" s="63"/>
      <c r="DZ7" s="63"/>
      <c r="EA7" s="63"/>
      <c r="EB7" s="63"/>
      <c r="EC7" s="63"/>
      <c r="ED7" s="63"/>
      <c r="EE7" s="64"/>
      <c r="EF7" s="64"/>
      <c r="EG7" s="64"/>
      <c r="EH7" s="64"/>
      <c r="EI7" s="64"/>
      <c r="EJ7" s="64"/>
      <c r="EK7" s="64"/>
      <c r="EL7" s="63"/>
      <c r="EM7" s="63"/>
      <c r="EN7" s="63"/>
      <c r="EO7" s="63"/>
      <c r="EP7" s="63"/>
      <c r="EQ7" s="63"/>
      <c r="ER7" s="63"/>
      <c r="ES7" s="64"/>
      <c r="ET7" s="64"/>
      <c r="EU7" s="64"/>
      <c r="EV7" s="64"/>
      <c r="EW7" s="64"/>
      <c r="EX7" s="64"/>
      <c r="EY7" s="64"/>
      <c r="EZ7" s="63"/>
      <c r="FA7" s="63"/>
      <c r="FB7" s="63"/>
      <c r="FC7" s="63"/>
      <c r="FD7" s="63"/>
      <c r="FE7" s="63"/>
      <c r="FF7" s="63"/>
      <c r="FG7" s="64"/>
      <c r="FH7" s="64"/>
      <c r="FI7" s="64"/>
      <c r="FJ7" s="64"/>
      <c r="FK7" s="64"/>
      <c r="FL7" s="64"/>
      <c r="FM7" s="64"/>
      <c r="FN7" s="63"/>
      <c r="FO7" s="63"/>
      <c r="FP7" s="63"/>
      <c r="FQ7" s="63"/>
      <c r="FR7" s="63"/>
      <c r="FS7" s="63"/>
      <c r="FT7" s="63"/>
      <c r="FU7" s="64"/>
      <c r="FV7" s="64"/>
      <c r="FW7" s="64"/>
      <c r="FX7" s="64"/>
      <c r="FY7" s="64"/>
      <c r="FZ7" s="64"/>
      <c r="GA7" s="64"/>
      <c r="GB7" s="63"/>
      <c r="GC7" s="63"/>
      <c r="GD7" s="63"/>
      <c r="GE7" s="63"/>
      <c r="GF7" s="63"/>
      <c r="GG7" s="63"/>
      <c r="GH7" s="63"/>
      <c r="GI7" s="64"/>
      <c r="GJ7" s="64"/>
      <c r="GK7" s="64"/>
      <c r="GL7" s="64"/>
      <c r="GM7" s="64"/>
      <c r="GN7" s="64"/>
      <c r="GO7" s="64"/>
      <c r="GP7" s="63"/>
      <c r="GQ7" s="63"/>
      <c r="GR7" s="63"/>
      <c r="GS7" s="63"/>
      <c r="GT7" s="63"/>
      <c r="GU7" s="63"/>
      <c r="GV7" s="63"/>
      <c r="GW7" s="64"/>
      <c r="GX7" s="64"/>
      <c r="GY7" s="64"/>
      <c r="GZ7" s="64"/>
      <c r="HA7" s="64"/>
      <c r="HB7" s="64"/>
      <c r="HC7" s="64"/>
      <c r="HD7" s="63"/>
      <c r="HE7" s="63"/>
      <c r="HF7" s="63"/>
      <c r="HG7" s="63"/>
      <c r="HH7" s="63"/>
      <c r="HI7" s="63"/>
      <c r="HJ7" s="63"/>
      <c r="HK7" s="65" t="n">
        <f aca="false">COUNTIF(B7:HJ7,"A")</f>
        <v>0</v>
      </c>
      <c r="HL7" s="66" t="n">
        <f aca="false">COUNTIF(B7:HJ7,"O")</f>
        <v>0</v>
      </c>
      <c r="HM7" s="67" t="n">
        <f aca="false">COUNTIF(B7:HJ7,"D")</f>
        <v>0</v>
      </c>
      <c r="HN7" s="68" t="n">
        <f aca="false">COUNTIF(B7:HJ7,"N/A")</f>
        <v>0</v>
      </c>
      <c r="HO7" s="69" t="n">
        <f aca="false">IFERROR((HK7+HL7)/(HK7+HL7+HM7),0)</f>
        <v>0</v>
      </c>
    </row>
    <row r="8" customFormat="false" ht="15.75" hidden="false" customHeight="true" outlineLevel="0" collapsed="false">
      <c r="A8" s="62" t="str">
        <f aca="false">Roster!B8</f>
        <v>Resident 4</v>
      </c>
      <c r="B8" s="63"/>
      <c r="C8" s="63"/>
      <c r="D8" s="63"/>
      <c r="E8" s="63"/>
      <c r="F8" s="63"/>
      <c r="G8" s="63"/>
      <c r="H8" s="63"/>
      <c r="I8" s="64"/>
      <c r="J8" s="64"/>
      <c r="K8" s="64"/>
      <c r="L8" s="64"/>
      <c r="M8" s="64"/>
      <c r="N8" s="64"/>
      <c r="O8" s="64"/>
      <c r="P8" s="63"/>
      <c r="Q8" s="63"/>
      <c r="R8" s="63"/>
      <c r="S8" s="63"/>
      <c r="T8" s="63"/>
      <c r="U8" s="63"/>
      <c r="V8" s="63"/>
      <c r="W8" s="64"/>
      <c r="X8" s="64"/>
      <c r="Y8" s="64"/>
      <c r="Z8" s="64"/>
      <c r="AA8" s="64"/>
      <c r="AB8" s="64"/>
      <c r="AC8" s="64"/>
      <c r="AD8" s="63"/>
      <c r="AE8" s="63"/>
      <c r="AF8" s="63"/>
      <c r="AG8" s="63"/>
      <c r="AH8" s="63"/>
      <c r="AI8" s="63"/>
      <c r="AJ8" s="63"/>
      <c r="AK8" s="64"/>
      <c r="AL8" s="64"/>
      <c r="AM8" s="64"/>
      <c r="AN8" s="64"/>
      <c r="AO8" s="64"/>
      <c r="AP8" s="64"/>
      <c r="AQ8" s="64"/>
      <c r="AR8" s="63"/>
      <c r="AS8" s="63"/>
      <c r="AT8" s="63"/>
      <c r="AU8" s="63"/>
      <c r="AV8" s="63"/>
      <c r="AW8" s="63"/>
      <c r="AX8" s="63"/>
      <c r="AY8" s="64"/>
      <c r="AZ8" s="64"/>
      <c r="BA8" s="64"/>
      <c r="BB8" s="64"/>
      <c r="BC8" s="64"/>
      <c r="BD8" s="64"/>
      <c r="BE8" s="64"/>
      <c r="BF8" s="63"/>
      <c r="BG8" s="63"/>
      <c r="BH8" s="63"/>
      <c r="BI8" s="63"/>
      <c r="BJ8" s="63"/>
      <c r="BK8" s="63"/>
      <c r="BL8" s="63"/>
      <c r="BM8" s="64"/>
      <c r="BN8" s="64"/>
      <c r="BO8" s="64"/>
      <c r="BP8" s="64"/>
      <c r="BQ8" s="64"/>
      <c r="BR8" s="64"/>
      <c r="BS8" s="64"/>
      <c r="BT8" s="63"/>
      <c r="BU8" s="63"/>
      <c r="BV8" s="63"/>
      <c r="BW8" s="63"/>
      <c r="BX8" s="63"/>
      <c r="BY8" s="63"/>
      <c r="BZ8" s="63"/>
      <c r="CA8" s="64"/>
      <c r="CB8" s="64"/>
      <c r="CC8" s="64"/>
      <c r="CD8" s="64"/>
      <c r="CE8" s="64"/>
      <c r="CF8" s="64"/>
      <c r="CG8" s="64"/>
      <c r="CH8" s="63"/>
      <c r="CI8" s="63"/>
      <c r="CJ8" s="63"/>
      <c r="CK8" s="63"/>
      <c r="CL8" s="63"/>
      <c r="CM8" s="63"/>
      <c r="CN8" s="63"/>
      <c r="CO8" s="64"/>
      <c r="CP8" s="64"/>
      <c r="CQ8" s="64"/>
      <c r="CR8" s="64"/>
      <c r="CS8" s="64"/>
      <c r="CT8" s="64"/>
      <c r="CU8" s="64"/>
      <c r="CV8" s="63"/>
      <c r="CW8" s="63"/>
      <c r="CX8" s="63"/>
      <c r="CY8" s="63"/>
      <c r="CZ8" s="63"/>
      <c r="DA8" s="63"/>
      <c r="DB8" s="63"/>
      <c r="DC8" s="64"/>
      <c r="DD8" s="64"/>
      <c r="DE8" s="64"/>
      <c r="DF8" s="64"/>
      <c r="DG8" s="64"/>
      <c r="DH8" s="64"/>
      <c r="DI8" s="64"/>
      <c r="DJ8" s="63"/>
      <c r="DK8" s="63"/>
      <c r="DL8" s="63"/>
      <c r="DM8" s="63"/>
      <c r="DN8" s="63"/>
      <c r="DO8" s="63"/>
      <c r="DP8" s="63"/>
      <c r="DQ8" s="64"/>
      <c r="DR8" s="64"/>
      <c r="DS8" s="64"/>
      <c r="DT8" s="64"/>
      <c r="DU8" s="64"/>
      <c r="DV8" s="64"/>
      <c r="DW8" s="64"/>
      <c r="DX8" s="63"/>
      <c r="DY8" s="63"/>
      <c r="DZ8" s="63"/>
      <c r="EA8" s="63"/>
      <c r="EB8" s="63"/>
      <c r="EC8" s="63"/>
      <c r="ED8" s="63"/>
      <c r="EE8" s="64"/>
      <c r="EF8" s="64"/>
      <c r="EG8" s="64"/>
      <c r="EH8" s="64"/>
      <c r="EI8" s="64"/>
      <c r="EJ8" s="64"/>
      <c r="EK8" s="64"/>
      <c r="EL8" s="63"/>
      <c r="EM8" s="63"/>
      <c r="EN8" s="63"/>
      <c r="EO8" s="63"/>
      <c r="EP8" s="63"/>
      <c r="EQ8" s="63"/>
      <c r="ER8" s="63"/>
      <c r="ES8" s="64"/>
      <c r="ET8" s="64"/>
      <c r="EU8" s="64"/>
      <c r="EV8" s="64"/>
      <c r="EW8" s="64"/>
      <c r="EX8" s="64"/>
      <c r="EY8" s="64"/>
      <c r="EZ8" s="63"/>
      <c r="FA8" s="63"/>
      <c r="FB8" s="63"/>
      <c r="FC8" s="63"/>
      <c r="FD8" s="63"/>
      <c r="FE8" s="63"/>
      <c r="FF8" s="63"/>
      <c r="FG8" s="64"/>
      <c r="FH8" s="64"/>
      <c r="FI8" s="64"/>
      <c r="FJ8" s="64"/>
      <c r="FK8" s="64"/>
      <c r="FL8" s="64"/>
      <c r="FM8" s="64"/>
      <c r="FN8" s="63"/>
      <c r="FO8" s="63"/>
      <c r="FP8" s="63"/>
      <c r="FQ8" s="63"/>
      <c r="FR8" s="63"/>
      <c r="FS8" s="63"/>
      <c r="FT8" s="63"/>
      <c r="FU8" s="64"/>
      <c r="FV8" s="64"/>
      <c r="FW8" s="64"/>
      <c r="FX8" s="64"/>
      <c r="FY8" s="64"/>
      <c r="FZ8" s="64"/>
      <c r="GA8" s="64"/>
      <c r="GB8" s="63"/>
      <c r="GC8" s="63"/>
      <c r="GD8" s="63"/>
      <c r="GE8" s="63"/>
      <c r="GF8" s="63"/>
      <c r="GG8" s="63"/>
      <c r="GH8" s="63"/>
      <c r="GI8" s="64"/>
      <c r="GJ8" s="64"/>
      <c r="GK8" s="64"/>
      <c r="GL8" s="64"/>
      <c r="GM8" s="64"/>
      <c r="GN8" s="64"/>
      <c r="GO8" s="64"/>
      <c r="GP8" s="63"/>
      <c r="GQ8" s="63"/>
      <c r="GR8" s="63"/>
      <c r="GS8" s="63"/>
      <c r="GT8" s="63"/>
      <c r="GU8" s="63"/>
      <c r="GV8" s="63"/>
      <c r="GW8" s="64"/>
      <c r="GX8" s="64"/>
      <c r="GY8" s="64"/>
      <c r="GZ8" s="64"/>
      <c r="HA8" s="64"/>
      <c r="HB8" s="64"/>
      <c r="HC8" s="64"/>
      <c r="HD8" s="63"/>
      <c r="HE8" s="63"/>
      <c r="HF8" s="63"/>
      <c r="HG8" s="63"/>
      <c r="HH8" s="63"/>
      <c r="HI8" s="63"/>
      <c r="HJ8" s="63"/>
      <c r="HK8" s="65" t="n">
        <f aca="false">COUNTIF(B8:HJ8,"A")</f>
        <v>0</v>
      </c>
      <c r="HL8" s="66" t="n">
        <f aca="false">COUNTIF(B8:HJ8,"O")</f>
        <v>0</v>
      </c>
      <c r="HM8" s="67" t="n">
        <f aca="false">COUNTIF(B8:HJ8,"D")</f>
        <v>0</v>
      </c>
      <c r="HN8" s="68" t="n">
        <f aca="false">COUNTIF(B8:HJ8,"N/A")</f>
        <v>0</v>
      </c>
      <c r="HO8" s="69" t="n">
        <f aca="false">IFERROR((HK8+HL8)/(HK8+HL8+HM8),0)</f>
        <v>0</v>
      </c>
    </row>
    <row r="9" customFormat="false" ht="15.75" hidden="false" customHeight="true" outlineLevel="0" collapsed="false">
      <c r="A9" s="62" t="str">
        <f aca="false">Roster!B9</f>
        <v>Resident 5</v>
      </c>
      <c r="B9" s="63"/>
      <c r="C9" s="63"/>
      <c r="D9" s="63"/>
      <c r="E9" s="63"/>
      <c r="F9" s="63"/>
      <c r="G9" s="63"/>
      <c r="H9" s="63"/>
      <c r="I9" s="64"/>
      <c r="J9" s="64"/>
      <c r="K9" s="64"/>
      <c r="L9" s="64"/>
      <c r="M9" s="64"/>
      <c r="N9" s="64"/>
      <c r="O9" s="64"/>
      <c r="P9" s="63"/>
      <c r="Q9" s="63"/>
      <c r="R9" s="63"/>
      <c r="S9" s="63"/>
      <c r="T9" s="63"/>
      <c r="U9" s="63"/>
      <c r="V9" s="63"/>
      <c r="W9" s="64"/>
      <c r="X9" s="64"/>
      <c r="Y9" s="64"/>
      <c r="Z9" s="64"/>
      <c r="AA9" s="64"/>
      <c r="AB9" s="64"/>
      <c r="AC9" s="64"/>
      <c r="AD9" s="63"/>
      <c r="AE9" s="63"/>
      <c r="AF9" s="63"/>
      <c r="AG9" s="63"/>
      <c r="AH9" s="63"/>
      <c r="AI9" s="63"/>
      <c r="AJ9" s="63"/>
      <c r="AK9" s="64"/>
      <c r="AL9" s="64"/>
      <c r="AM9" s="64"/>
      <c r="AN9" s="64"/>
      <c r="AO9" s="64"/>
      <c r="AP9" s="64"/>
      <c r="AQ9" s="64"/>
      <c r="AR9" s="63"/>
      <c r="AS9" s="63"/>
      <c r="AT9" s="63"/>
      <c r="AU9" s="63"/>
      <c r="AV9" s="63"/>
      <c r="AW9" s="63"/>
      <c r="AX9" s="63"/>
      <c r="AY9" s="64"/>
      <c r="AZ9" s="64"/>
      <c r="BA9" s="64"/>
      <c r="BB9" s="64"/>
      <c r="BC9" s="64"/>
      <c r="BD9" s="64"/>
      <c r="BE9" s="64"/>
      <c r="BF9" s="63"/>
      <c r="BG9" s="63"/>
      <c r="BH9" s="63"/>
      <c r="BI9" s="63"/>
      <c r="BJ9" s="63"/>
      <c r="BK9" s="63"/>
      <c r="BL9" s="63"/>
      <c r="BM9" s="64"/>
      <c r="BN9" s="64"/>
      <c r="BO9" s="64"/>
      <c r="BP9" s="64"/>
      <c r="BQ9" s="64"/>
      <c r="BR9" s="64"/>
      <c r="BS9" s="64"/>
      <c r="BT9" s="63"/>
      <c r="BU9" s="63"/>
      <c r="BV9" s="63"/>
      <c r="BW9" s="63"/>
      <c r="BX9" s="63"/>
      <c r="BY9" s="63"/>
      <c r="BZ9" s="63"/>
      <c r="CA9" s="64"/>
      <c r="CB9" s="64"/>
      <c r="CC9" s="64"/>
      <c r="CD9" s="64"/>
      <c r="CE9" s="64"/>
      <c r="CF9" s="64"/>
      <c r="CG9" s="64"/>
      <c r="CH9" s="63"/>
      <c r="CI9" s="63"/>
      <c r="CJ9" s="63"/>
      <c r="CK9" s="63"/>
      <c r="CL9" s="63"/>
      <c r="CM9" s="63"/>
      <c r="CN9" s="63"/>
      <c r="CO9" s="64"/>
      <c r="CP9" s="64"/>
      <c r="CQ9" s="64"/>
      <c r="CR9" s="64"/>
      <c r="CS9" s="64"/>
      <c r="CT9" s="64"/>
      <c r="CU9" s="64"/>
      <c r="CV9" s="63"/>
      <c r="CW9" s="63"/>
      <c r="CX9" s="63"/>
      <c r="CY9" s="63"/>
      <c r="CZ9" s="63"/>
      <c r="DA9" s="63"/>
      <c r="DB9" s="63"/>
      <c r="DC9" s="64"/>
      <c r="DD9" s="64"/>
      <c r="DE9" s="64"/>
      <c r="DF9" s="64"/>
      <c r="DG9" s="64"/>
      <c r="DH9" s="64"/>
      <c r="DI9" s="64"/>
      <c r="DJ9" s="63"/>
      <c r="DK9" s="63"/>
      <c r="DL9" s="63"/>
      <c r="DM9" s="63"/>
      <c r="DN9" s="63"/>
      <c r="DO9" s="63"/>
      <c r="DP9" s="63"/>
      <c r="DQ9" s="64"/>
      <c r="DR9" s="64"/>
      <c r="DS9" s="64"/>
      <c r="DT9" s="64"/>
      <c r="DU9" s="64"/>
      <c r="DV9" s="64"/>
      <c r="DW9" s="64"/>
      <c r="DX9" s="63"/>
      <c r="DY9" s="63"/>
      <c r="DZ9" s="63"/>
      <c r="EA9" s="63"/>
      <c r="EB9" s="63"/>
      <c r="EC9" s="63"/>
      <c r="ED9" s="63"/>
      <c r="EE9" s="64"/>
      <c r="EF9" s="64"/>
      <c r="EG9" s="64"/>
      <c r="EH9" s="64"/>
      <c r="EI9" s="64"/>
      <c r="EJ9" s="64"/>
      <c r="EK9" s="64"/>
      <c r="EL9" s="63"/>
      <c r="EM9" s="63"/>
      <c r="EN9" s="63"/>
      <c r="EO9" s="63"/>
      <c r="EP9" s="63"/>
      <c r="EQ9" s="63"/>
      <c r="ER9" s="63"/>
      <c r="ES9" s="64"/>
      <c r="ET9" s="64"/>
      <c r="EU9" s="64"/>
      <c r="EV9" s="64"/>
      <c r="EW9" s="64"/>
      <c r="EX9" s="64"/>
      <c r="EY9" s="64"/>
      <c r="EZ9" s="63"/>
      <c r="FA9" s="63"/>
      <c r="FB9" s="63"/>
      <c r="FC9" s="63"/>
      <c r="FD9" s="63"/>
      <c r="FE9" s="63"/>
      <c r="FF9" s="63"/>
      <c r="FG9" s="64"/>
      <c r="FH9" s="64"/>
      <c r="FI9" s="64"/>
      <c r="FJ9" s="64"/>
      <c r="FK9" s="64"/>
      <c r="FL9" s="64"/>
      <c r="FM9" s="64"/>
      <c r="FN9" s="63"/>
      <c r="FO9" s="63"/>
      <c r="FP9" s="63"/>
      <c r="FQ9" s="63"/>
      <c r="FR9" s="63"/>
      <c r="FS9" s="63"/>
      <c r="FT9" s="63"/>
      <c r="FU9" s="64"/>
      <c r="FV9" s="64"/>
      <c r="FW9" s="64"/>
      <c r="FX9" s="64"/>
      <c r="FY9" s="64"/>
      <c r="FZ9" s="64"/>
      <c r="GA9" s="64"/>
      <c r="GB9" s="63"/>
      <c r="GC9" s="63"/>
      <c r="GD9" s="63"/>
      <c r="GE9" s="63"/>
      <c r="GF9" s="63"/>
      <c r="GG9" s="63"/>
      <c r="GH9" s="63"/>
      <c r="GI9" s="64"/>
      <c r="GJ9" s="64"/>
      <c r="GK9" s="64"/>
      <c r="GL9" s="64"/>
      <c r="GM9" s="64"/>
      <c r="GN9" s="64"/>
      <c r="GO9" s="64"/>
      <c r="GP9" s="63"/>
      <c r="GQ9" s="63"/>
      <c r="GR9" s="63"/>
      <c r="GS9" s="63"/>
      <c r="GT9" s="63"/>
      <c r="GU9" s="63"/>
      <c r="GV9" s="63"/>
      <c r="GW9" s="64"/>
      <c r="GX9" s="64"/>
      <c r="GY9" s="64"/>
      <c r="GZ9" s="64"/>
      <c r="HA9" s="64"/>
      <c r="HB9" s="64"/>
      <c r="HC9" s="64"/>
      <c r="HD9" s="63"/>
      <c r="HE9" s="63"/>
      <c r="HF9" s="63"/>
      <c r="HG9" s="63"/>
      <c r="HH9" s="63"/>
      <c r="HI9" s="63"/>
      <c r="HJ9" s="63"/>
      <c r="HK9" s="65" t="n">
        <f aca="false">COUNTIF(B9:HJ9,"A")</f>
        <v>0</v>
      </c>
      <c r="HL9" s="66" t="n">
        <f aca="false">COUNTIF(B9:HJ9,"O")</f>
        <v>0</v>
      </c>
      <c r="HM9" s="67" t="n">
        <f aca="false">COUNTIF(B9:HJ9,"D")</f>
        <v>0</v>
      </c>
      <c r="HN9" s="68" t="n">
        <f aca="false">COUNTIF(B9:HJ9,"N/A")</f>
        <v>0</v>
      </c>
      <c r="HO9" s="69" t="n">
        <f aca="false">IFERROR((HK9+HL9)/(HK9+HL9+HM9),0)</f>
        <v>0</v>
      </c>
    </row>
    <row r="10" customFormat="false" ht="15.75" hidden="false" customHeight="true" outlineLevel="0" collapsed="false">
      <c r="A10" s="62" t="str">
        <f aca="false">Roster!B10</f>
        <v>Resident 6</v>
      </c>
      <c r="B10" s="63"/>
      <c r="C10" s="63"/>
      <c r="D10" s="63"/>
      <c r="E10" s="63"/>
      <c r="F10" s="63"/>
      <c r="G10" s="63"/>
      <c r="H10" s="63"/>
      <c r="I10" s="64"/>
      <c r="J10" s="64"/>
      <c r="K10" s="64"/>
      <c r="L10" s="64"/>
      <c r="M10" s="64"/>
      <c r="N10" s="64"/>
      <c r="O10" s="64"/>
      <c r="P10" s="63"/>
      <c r="Q10" s="63"/>
      <c r="R10" s="63"/>
      <c r="S10" s="63"/>
      <c r="T10" s="63"/>
      <c r="U10" s="63"/>
      <c r="V10" s="63"/>
      <c r="W10" s="64"/>
      <c r="X10" s="64"/>
      <c r="Y10" s="64"/>
      <c r="Z10" s="64"/>
      <c r="AA10" s="64"/>
      <c r="AB10" s="64"/>
      <c r="AC10" s="64"/>
      <c r="AD10" s="63"/>
      <c r="AE10" s="63"/>
      <c r="AF10" s="63"/>
      <c r="AG10" s="63"/>
      <c r="AH10" s="63"/>
      <c r="AI10" s="63"/>
      <c r="AJ10" s="63"/>
      <c r="AK10" s="64"/>
      <c r="AL10" s="64"/>
      <c r="AM10" s="64"/>
      <c r="AN10" s="64"/>
      <c r="AO10" s="64"/>
      <c r="AP10" s="64"/>
      <c r="AQ10" s="64"/>
      <c r="AR10" s="63"/>
      <c r="AS10" s="63"/>
      <c r="AT10" s="63"/>
      <c r="AU10" s="63"/>
      <c r="AV10" s="63"/>
      <c r="AW10" s="63"/>
      <c r="AX10" s="63"/>
      <c r="AY10" s="64"/>
      <c r="AZ10" s="64"/>
      <c r="BA10" s="64"/>
      <c r="BB10" s="64"/>
      <c r="BC10" s="64"/>
      <c r="BD10" s="64"/>
      <c r="BE10" s="64"/>
      <c r="BF10" s="63"/>
      <c r="BG10" s="63"/>
      <c r="BH10" s="63"/>
      <c r="BI10" s="63"/>
      <c r="BJ10" s="63"/>
      <c r="BK10" s="63"/>
      <c r="BL10" s="63"/>
      <c r="BM10" s="64"/>
      <c r="BN10" s="64"/>
      <c r="BO10" s="64"/>
      <c r="BP10" s="64"/>
      <c r="BQ10" s="64"/>
      <c r="BR10" s="64"/>
      <c r="BS10" s="64"/>
      <c r="BT10" s="63"/>
      <c r="BU10" s="63"/>
      <c r="BV10" s="63"/>
      <c r="BW10" s="63"/>
      <c r="BX10" s="63"/>
      <c r="BY10" s="63"/>
      <c r="BZ10" s="63"/>
      <c r="CA10" s="64"/>
      <c r="CB10" s="64"/>
      <c r="CC10" s="64"/>
      <c r="CD10" s="64"/>
      <c r="CE10" s="64"/>
      <c r="CF10" s="64"/>
      <c r="CG10" s="64"/>
      <c r="CH10" s="63"/>
      <c r="CI10" s="63"/>
      <c r="CJ10" s="63"/>
      <c r="CK10" s="63"/>
      <c r="CL10" s="63"/>
      <c r="CM10" s="63"/>
      <c r="CN10" s="63"/>
      <c r="CO10" s="64"/>
      <c r="CP10" s="64"/>
      <c r="CQ10" s="64"/>
      <c r="CR10" s="64"/>
      <c r="CS10" s="64"/>
      <c r="CT10" s="64"/>
      <c r="CU10" s="64"/>
      <c r="CV10" s="63"/>
      <c r="CW10" s="63"/>
      <c r="CX10" s="63"/>
      <c r="CY10" s="63"/>
      <c r="CZ10" s="63"/>
      <c r="DA10" s="63"/>
      <c r="DB10" s="63"/>
      <c r="DC10" s="64"/>
      <c r="DD10" s="64"/>
      <c r="DE10" s="64"/>
      <c r="DF10" s="64"/>
      <c r="DG10" s="64"/>
      <c r="DH10" s="64"/>
      <c r="DI10" s="64"/>
      <c r="DJ10" s="63"/>
      <c r="DK10" s="63"/>
      <c r="DL10" s="63"/>
      <c r="DM10" s="63"/>
      <c r="DN10" s="63"/>
      <c r="DO10" s="63"/>
      <c r="DP10" s="63"/>
      <c r="DQ10" s="64"/>
      <c r="DR10" s="64"/>
      <c r="DS10" s="64"/>
      <c r="DT10" s="64"/>
      <c r="DU10" s="64"/>
      <c r="DV10" s="64"/>
      <c r="DW10" s="64"/>
      <c r="DX10" s="63"/>
      <c r="DY10" s="63"/>
      <c r="DZ10" s="63"/>
      <c r="EA10" s="63"/>
      <c r="EB10" s="63"/>
      <c r="EC10" s="63"/>
      <c r="ED10" s="63"/>
      <c r="EE10" s="64"/>
      <c r="EF10" s="64"/>
      <c r="EG10" s="64"/>
      <c r="EH10" s="64"/>
      <c r="EI10" s="64"/>
      <c r="EJ10" s="64"/>
      <c r="EK10" s="64"/>
      <c r="EL10" s="63"/>
      <c r="EM10" s="63"/>
      <c r="EN10" s="63"/>
      <c r="EO10" s="63"/>
      <c r="EP10" s="63"/>
      <c r="EQ10" s="63"/>
      <c r="ER10" s="63"/>
      <c r="ES10" s="64"/>
      <c r="ET10" s="64"/>
      <c r="EU10" s="64"/>
      <c r="EV10" s="64"/>
      <c r="EW10" s="64"/>
      <c r="EX10" s="64"/>
      <c r="EY10" s="64"/>
      <c r="EZ10" s="63"/>
      <c r="FA10" s="63"/>
      <c r="FB10" s="63"/>
      <c r="FC10" s="63"/>
      <c r="FD10" s="63"/>
      <c r="FE10" s="63"/>
      <c r="FF10" s="63"/>
      <c r="FG10" s="64"/>
      <c r="FH10" s="64"/>
      <c r="FI10" s="64"/>
      <c r="FJ10" s="64"/>
      <c r="FK10" s="64"/>
      <c r="FL10" s="64"/>
      <c r="FM10" s="64"/>
      <c r="FN10" s="63"/>
      <c r="FO10" s="63"/>
      <c r="FP10" s="63"/>
      <c r="FQ10" s="63"/>
      <c r="FR10" s="63"/>
      <c r="FS10" s="63"/>
      <c r="FT10" s="63"/>
      <c r="FU10" s="64"/>
      <c r="FV10" s="64"/>
      <c r="FW10" s="64"/>
      <c r="FX10" s="64"/>
      <c r="FY10" s="64"/>
      <c r="FZ10" s="64"/>
      <c r="GA10" s="64"/>
      <c r="GB10" s="63"/>
      <c r="GC10" s="63"/>
      <c r="GD10" s="63"/>
      <c r="GE10" s="63"/>
      <c r="GF10" s="63"/>
      <c r="GG10" s="63"/>
      <c r="GH10" s="63"/>
      <c r="GI10" s="64"/>
      <c r="GJ10" s="64"/>
      <c r="GK10" s="64"/>
      <c r="GL10" s="64"/>
      <c r="GM10" s="64"/>
      <c r="GN10" s="64"/>
      <c r="GO10" s="64"/>
      <c r="GP10" s="63"/>
      <c r="GQ10" s="63"/>
      <c r="GR10" s="63"/>
      <c r="GS10" s="63"/>
      <c r="GT10" s="63"/>
      <c r="GU10" s="63"/>
      <c r="GV10" s="63"/>
      <c r="GW10" s="64"/>
      <c r="GX10" s="64"/>
      <c r="GY10" s="64"/>
      <c r="GZ10" s="64"/>
      <c r="HA10" s="64"/>
      <c r="HB10" s="64"/>
      <c r="HC10" s="64"/>
      <c r="HD10" s="63"/>
      <c r="HE10" s="63"/>
      <c r="HF10" s="63"/>
      <c r="HG10" s="63"/>
      <c r="HH10" s="63"/>
      <c r="HI10" s="63"/>
      <c r="HJ10" s="63"/>
      <c r="HK10" s="65" t="n">
        <f aca="false">COUNTIF(B10:HJ10,"A")</f>
        <v>0</v>
      </c>
      <c r="HL10" s="66" t="n">
        <f aca="false">COUNTIF(B10:HJ10,"O")</f>
        <v>0</v>
      </c>
      <c r="HM10" s="67" t="n">
        <f aca="false">COUNTIF(B10:HJ10,"D")</f>
        <v>0</v>
      </c>
      <c r="HN10" s="68" t="n">
        <f aca="false">COUNTIF(B10:HJ10,"N/A")</f>
        <v>0</v>
      </c>
      <c r="HO10" s="69" t="n">
        <f aca="false">IFERROR((HK10+HL10)/(HK10+HL10+HM10),0)</f>
        <v>0</v>
      </c>
    </row>
    <row r="11" customFormat="false" ht="15.75" hidden="false" customHeight="true" outlineLevel="0" collapsed="false">
      <c r="A11" s="62" t="str">
        <f aca="false">Roster!B11</f>
        <v>Resident 7</v>
      </c>
      <c r="B11" s="63"/>
      <c r="C11" s="63"/>
      <c r="D11" s="63"/>
      <c r="E11" s="63"/>
      <c r="F11" s="63"/>
      <c r="G11" s="63"/>
      <c r="H11" s="63"/>
      <c r="I11" s="64"/>
      <c r="J11" s="64"/>
      <c r="K11" s="64"/>
      <c r="L11" s="64"/>
      <c r="M11" s="64"/>
      <c r="N11" s="64"/>
      <c r="O11" s="64"/>
      <c r="P11" s="63"/>
      <c r="Q11" s="63"/>
      <c r="R11" s="63"/>
      <c r="S11" s="63"/>
      <c r="T11" s="63"/>
      <c r="U11" s="63"/>
      <c r="V11" s="63"/>
      <c r="W11" s="64"/>
      <c r="X11" s="64"/>
      <c r="Y11" s="64"/>
      <c r="Z11" s="64"/>
      <c r="AA11" s="64"/>
      <c r="AB11" s="64"/>
      <c r="AC11" s="64"/>
      <c r="AD11" s="63"/>
      <c r="AE11" s="63"/>
      <c r="AF11" s="63"/>
      <c r="AG11" s="63"/>
      <c r="AH11" s="63"/>
      <c r="AI11" s="63"/>
      <c r="AJ11" s="63"/>
      <c r="AK11" s="64"/>
      <c r="AL11" s="64"/>
      <c r="AM11" s="64"/>
      <c r="AN11" s="64"/>
      <c r="AO11" s="64"/>
      <c r="AP11" s="64"/>
      <c r="AQ11" s="64"/>
      <c r="AR11" s="63"/>
      <c r="AS11" s="63"/>
      <c r="AT11" s="63"/>
      <c r="AU11" s="63"/>
      <c r="AV11" s="63"/>
      <c r="AW11" s="63"/>
      <c r="AX11" s="63"/>
      <c r="AY11" s="64"/>
      <c r="AZ11" s="64"/>
      <c r="BA11" s="64"/>
      <c r="BB11" s="64"/>
      <c r="BC11" s="64"/>
      <c r="BD11" s="64"/>
      <c r="BE11" s="64"/>
      <c r="BF11" s="63"/>
      <c r="BG11" s="63"/>
      <c r="BH11" s="63"/>
      <c r="BI11" s="63"/>
      <c r="BJ11" s="63"/>
      <c r="BK11" s="63"/>
      <c r="BL11" s="63"/>
      <c r="BM11" s="64"/>
      <c r="BN11" s="64"/>
      <c r="BO11" s="64"/>
      <c r="BP11" s="64"/>
      <c r="BQ11" s="64"/>
      <c r="BR11" s="64"/>
      <c r="BS11" s="64"/>
      <c r="BT11" s="63"/>
      <c r="BU11" s="63"/>
      <c r="BV11" s="63"/>
      <c r="BW11" s="63"/>
      <c r="BX11" s="63"/>
      <c r="BY11" s="63"/>
      <c r="BZ11" s="63"/>
      <c r="CA11" s="64"/>
      <c r="CB11" s="64"/>
      <c r="CC11" s="64"/>
      <c r="CD11" s="64"/>
      <c r="CE11" s="64"/>
      <c r="CF11" s="64"/>
      <c r="CG11" s="64"/>
      <c r="CH11" s="63"/>
      <c r="CI11" s="63"/>
      <c r="CJ11" s="63"/>
      <c r="CK11" s="63"/>
      <c r="CL11" s="63"/>
      <c r="CM11" s="63"/>
      <c r="CN11" s="63"/>
      <c r="CO11" s="64"/>
      <c r="CP11" s="64"/>
      <c r="CQ11" s="64"/>
      <c r="CR11" s="64"/>
      <c r="CS11" s="64"/>
      <c r="CT11" s="64"/>
      <c r="CU11" s="64"/>
      <c r="CV11" s="63"/>
      <c r="CW11" s="63"/>
      <c r="CX11" s="63"/>
      <c r="CY11" s="63"/>
      <c r="CZ11" s="63"/>
      <c r="DA11" s="63"/>
      <c r="DB11" s="63"/>
      <c r="DC11" s="64"/>
      <c r="DD11" s="64"/>
      <c r="DE11" s="64"/>
      <c r="DF11" s="64"/>
      <c r="DG11" s="64"/>
      <c r="DH11" s="64"/>
      <c r="DI11" s="64"/>
      <c r="DJ11" s="63"/>
      <c r="DK11" s="63"/>
      <c r="DL11" s="63"/>
      <c r="DM11" s="63"/>
      <c r="DN11" s="63"/>
      <c r="DO11" s="63"/>
      <c r="DP11" s="63"/>
      <c r="DQ11" s="64"/>
      <c r="DR11" s="64"/>
      <c r="DS11" s="64"/>
      <c r="DT11" s="64"/>
      <c r="DU11" s="64"/>
      <c r="DV11" s="64"/>
      <c r="DW11" s="64"/>
      <c r="DX11" s="63"/>
      <c r="DY11" s="63"/>
      <c r="DZ11" s="63"/>
      <c r="EA11" s="63"/>
      <c r="EB11" s="63"/>
      <c r="EC11" s="63"/>
      <c r="ED11" s="63"/>
      <c r="EE11" s="64"/>
      <c r="EF11" s="64"/>
      <c r="EG11" s="64"/>
      <c r="EH11" s="64"/>
      <c r="EI11" s="64"/>
      <c r="EJ11" s="64"/>
      <c r="EK11" s="64"/>
      <c r="EL11" s="63"/>
      <c r="EM11" s="63"/>
      <c r="EN11" s="63"/>
      <c r="EO11" s="63"/>
      <c r="EP11" s="63"/>
      <c r="EQ11" s="63"/>
      <c r="ER11" s="63"/>
      <c r="ES11" s="64"/>
      <c r="ET11" s="64"/>
      <c r="EU11" s="64"/>
      <c r="EV11" s="64"/>
      <c r="EW11" s="64"/>
      <c r="EX11" s="64"/>
      <c r="EY11" s="64"/>
      <c r="EZ11" s="63"/>
      <c r="FA11" s="63"/>
      <c r="FB11" s="63"/>
      <c r="FC11" s="63"/>
      <c r="FD11" s="63"/>
      <c r="FE11" s="63"/>
      <c r="FF11" s="63"/>
      <c r="FG11" s="64"/>
      <c r="FH11" s="64"/>
      <c r="FI11" s="64"/>
      <c r="FJ11" s="64"/>
      <c r="FK11" s="64"/>
      <c r="FL11" s="64"/>
      <c r="FM11" s="64"/>
      <c r="FN11" s="63"/>
      <c r="FO11" s="63"/>
      <c r="FP11" s="63"/>
      <c r="FQ11" s="63"/>
      <c r="FR11" s="63"/>
      <c r="FS11" s="63"/>
      <c r="FT11" s="63"/>
      <c r="FU11" s="64"/>
      <c r="FV11" s="64"/>
      <c r="FW11" s="64"/>
      <c r="FX11" s="64"/>
      <c r="FY11" s="64"/>
      <c r="FZ11" s="64"/>
      <c r="GA11" s="64"/>
      <c r="GB11" s="63"/>
      <c r="GC11" s="63"/>
      <c r="GD11" s="63"/>
      <c r="GE11" s="63"/>
      <c r="GF11" s="63"/>
      <c r="GG11" s="63"/>
      <c r="GH11" s="63"/>
      <c r="GI11" s="64"/>
      <c r="GJ11" s="64"/>
      <c r="GK11" s="64"/>
      <c r="GL11" s="64"/>
      <c r="GM11" s="64"/>
      <c r="GN11" s="64"/>
      <c r="GO11" s="64"/>
      <c r="GP11" s="63"/>
      <c r="GQ11" s="63"/>
      <c r="GR11" s="63"/>
      <c r="GS11" s="63"/>
      <c r="GT11" s="63"/>
      <c r="GU11" s="63"/>
      <c r="GV11" s="63"/>
      <c r="GW11" s="64"/>
      <c r="GX11" s="64"/>
      <c r="GY11" s="64"/>
      <c r="GZ11" s="64"/>
      <c r="HA11" s="64"/>
      <c r="HB11" s="64"/>
      <c r="HC11" s="64"/>
      <c r="HD11" s="63"/>
      <c r="HE11" s="63"/>
      <c r="HF11" s="63"/>
      <c r="HG11" s="63"/>
      <c r="HH11" s="63"/>
      <c r="HI11" s="63"/>
      <c r="HJ11" s="63"/>
      <c r="HK11" s="65" t="n">
        <f aca="false">COUNTIF(B11:HJ11,"A")</f>
        <v>0</v>
      </c>
      <c r="HL11" s="66" t="n">
        <f aca="false">COUNTIF(B11:HJ11,"O")</f>
        <v>0</v>
      </c>
      <c r="HM11" s="67" t="n">
        <f aca="false">COUNTIF(B11:HJ11,"D")</f>
        <v>0</v>
      </c>
      <c r="HN11" s="68" t="n">
        <f aca="false">COUNTIF(B11:HJ11,"N/A")</f>
        <v>0</v>
      </c>
      <c r="HO11" s="69" t="n">
        <f aca="false">IFERROR((HK11+HL11)/(HK11+HL11+HM11),0)</f>
        <v>0</v>
      </c>
    </row>
    <row r="12" customFormat="false" ht="15.75" hidden="false" customHeight="true" outlineLevel="0" collapsed="false">
      <c r="A12" s="62" t="str">
        <f aca="false">Roster!B12</f>
        <v>Resident 8</v>
      </c>
      <c r="B12" s="63"/>
      <c r="C12" s="63"/>
      <c r="D12" s="63"/>
      <c r="E12" s="63"/>
      <c r="F12" s="63"/>
      <c r="G12" s="63"/>
      <c r="H12" s="63"/>
      <c r="I12" s="64"/>
      <c r="J12" s="64"/>
      <c r="K12" s="64"/>
      <c r="L12" s="64"/>
      <c r="M12" s="64"/>
      <c r="N12" s="64"/>
      <c r="O12" s="64"/>
      <c r="P12" s="63"/>
      <c r="Q12" s="63"/>
      <c r="R12" s="63"/>
      <c r="S12" s="63"/>
      <c r="T12" s="63"/>
      <c r="U12" s="63"/>
      <c r="V12" s="63"/>
      <c r="W12" s="64"/>
      <c r="X12" s="64"/>
      <c r="Y12" s="64"/>
      <c r="Z12" s="64"/>
      <c r="AA12" s="64"/>
      <c r="AB12" s="64"/>
      <c r="AC12" s="64"/>
      <c r="AD12" s="63"/>
      <c r="AE12" s="63"/>
      <c r="AF12" s="63"/>
      <c r="AG12" s="63"/>
      <c r="AH12" s="63"/>
      <c r="AI12" s="63"/>
      <c r="AJ12" s="63"/>
      <c r="AK12" s="64"/>
      <c r="AL12" s="64"/>
      <c r="AM12" s="64"/>
      <c r="AN12" s="64"/>
      <c r="AO12" s="64"/>
      <c r="AP12" s="64"/>
      <c r="AQ12" s="64"/>
      <c r="AR12" s="63"/>
      <c r="AS12" s="63"/>
      <c r="AT12" s="63"/>
      <c r="AU12" s="63"/>
      <c r="AV12" s="63"/>
      <c r="AW12" s="63"/>
      <c r="AX12" s="63"/>
      <c r="AY12" s="64"/>
      <c r="AZ12" s="64"/>
      <c r="BA12" s="64"/>
      <c r="BB12" s="64"/>
      <c r="BC12" s="64"/>
      <c r="BD12" s="64"/>
      <c r="BE12" s="64"/>
      <c r="BF12" s="63"/>
      <c r="BG12" s="63"/>
      <c r="BH12" s="63"/>
      <c r="BI12" s="63"/>
      <c r="BJ12" s="63"/>
      <c r="BK12" s="63"/>
      <c r="BL12" s="63"/>
      <c r="BM12" s="64"/>
      <c r="BN12" s="64"/>
      <c r="BO12" s="64"/>
      <c r="BP12" s="64"/>
      <c r="BQ12" s="64"/>
      <c r="BR12" s="64"/>
      <c r="BS12" s="64"/>
      <c r="BT12" s="63"/>
      <c r="BU12" s="63"/>
      <c r="BV12" s="63"/>
      <c r="BW12" s="63"/>
      <c r="BX12" s="63"/>
      <c r="BY12" s="63"/>
      <c r="BZ12" s="63"/>
      <c r="CA12" s="64"/>
      <c r="CB12" s="64"/>
      <c r="CC12" s="64"/>
      <c r="CD12" s="64"/>
      <c r="CE12" s="64"/>
      <c r="CF12" s="64"/>
      <c r="CG12" s="64"/>
      <c r="CH12" s="63"/>
      <c r="CI12" s="63"/>
      <c r="CJ12" s="63"/>
      <c r="CK12" s="63"/>
      <c r="CL12" s="63"/>
      <c r="CM12" s="63"/>
      <c r="CN12" s="63"/>
      <c r="CO12" s="64"/>
      <c r="CP12" s="64"/>
      <c r="CQ12" s="64"/>
      <c r="CR12" s="64"/>
      <c r="CS12" s="64"/>
      <c r="CT12" s="64"/>
      <c r="CU12" s="64"/>
      <c r="CV12" s="63"/>
      <c r="CW12" s="63"/>
      <c r="CX12" s="63"/>
      <c r="CY12" s="63"/>
      <c r="CZ12" s="63"/>
      <c r="DA12" s="63"/>
      <c r="DB12" s="63"/>
      <c r="DC12" s="64"/>
      <c r="DD12" s="64"/>
      <c r="DE12" s="64"/>
      <c r="DF12" s="64"/>
      <c r="DG12" s="64"/>
      <c r="DH12" s="64"/>
      <c r="DI12" s="64"/>
      <c r="DJ12" s="63"/>
      <c r="DK12" s="63"/>
      <c r="DL12" s="63"/>
      <c r="DM12" s="63"/>
      <c r="DN12" s="63"/>
      <c r="DO12" s="63"/>
      <c r="DP12" s="63"/>
      <c r="DQ12" s="64"/>
      <c r="DR12" s="64"/>
      <c r="DS12" s="64"/>
      <c r="DT12" s="64"/>
      <c r="DU12" s="64"/>
      <c r="DV12" s="64"/>
      <c r="DW12" s="64"/>
      <c r="DX12" s="63"/>
      <c r="DY12" s="63"/>
      <c r="DZ12" s="63"/>
      <c r="EA12" s="63"/>
      <c r="EB12" s="63"/>
      <c r="EC12" s="63"/>
      <c r="ED12" s="63"/>
      <c r="EE12" s="64"/>
      <c r="EF12" s="64"/>
      <c r="EG12" s="64"/>
      <c r="EH12" s="64"/>
      <c r="EI12" s="64"/>
      <c r="EJ12" s="64"/>
      <c r="EK12" s="64"/>
      <c r="EL12" s="63"/>
      <c r="EM12" s="63"/>
      <c r="EN12" s="63"/>
      <c r="EO12" s="63"/>
      <c r="EP12" s="63"/>
      <c r="EQ12" s="63"/>
      <c r="ER12" s="63"/>
      <c r="ES12" s="64"/>
      <c r="ET12" s="64"/>
      <c r="EU12" s="64"/>
      <c r="EV12" s="64"/>
      <c r="EW12" s="64"/>
      <c r="EX12" s="64"/>
      <c r="EY12" s="64"/>
      <c r="EZ12" s="63"/>
      <c r="FA12" s="63"/>
      <c r="FB12" s="63"/>
      <c r="FC12" s="63"/>
      <c r="FD12" s="63"/>
      <c r="FE12" s="63"/>
      <c r="FF12" s="63"/>
      <c r="FG12" s="64"/>
      <c r="FH12" s="64"/>
      <c r="FI12" s="64"/>
      <c r="FJ12" s="64"/>
      <c r="FK12" s="64"/>
      <c r="FL12" s="64"/>
      <c r="FM12" s="64"/>
      <c r="FN12" s="63"/>
      <c r="FO12" s="63"/>
      <c r="FP12" s="63"/>
      <c r="FQ12" s="63"/>
      <c r="FR12" s="63"/>
      <c r="FS12" s="63"/>
      <c r="FT12" s="63"/>
      <c r="FU12" s="64"/>
      <c r="FV12" s="64"/>
      <c r="FW12" s="64"/>
      <c r="FX12" s="64"/>
      <c r="FY12" s="64"/>
      <c r="FZ12" s="64"/>
      <c r="GA12" s="64"/>
      <c r="GB12" s="63"/>
      <c r="GC12" s="63"/>
      <c r="GD12" s="63"/>
      <c r="GE12" s="63"/>
      <c r="GF12" s="63"/>
      <c r="GG12" s="63"/>
      <c r="GH12" s="63"/>
      <c r="GI12" s="64"/>
      <c r="GJ12" s="64"/>
      <c r="GK12" s="64"/>
      <c r="GL12" s="64"/>
      <c r="GM12" s="64"/>
      <c r="GN12" s="64"/>
      <c r="GO12" s="64"/>
      <c r="GP12" s="63"/>
      <c r="GQ12" s="63"/>
      <c r="GR12" s="63"/>
      <c r="GS12" s="63"/>
      <c r="GT12" s="63"/>
      <c r="GU12" s="63"/>
      <c r="GV12" s="63"/>
      <c r="GW12" s="64"/>
      <c r="GX12" s="64"/>
      <c r="GY12" s="64"/>
      <c r="GZ12" s="64"/>
      <c r="HA12" s="64"/>
      <c r="HB12" s="64"/>
      <c r="HC12" s="64"/>
      <c r="HD12" s="63"/>
      <c r="HE12" s="63"/>
      <c r="HF12" s="63"/>
      <c r="HG12" s="63"/>
      <c r="HH12" s="63"/>
      <c r="HI12" s="63"/>
      <c r="HJ12" s="63"/>
      <c r="HK12" s="65" t="n">
        <f aca="false">COUNTIF(B12:HJ12,"A")</f>
        <v>0</v>
      </c>
      <c r="HL12" s="66" t="n">
        <f aca="false">COUNTIF(B12:HJ12,"O")</f>
        <v>0</v>
      </c>
      <c r="HM12" s="67" t="n">
        <f aca="false">COUNTIF(B12:HJ12,"D")</f>
        <v>0</v>
      </c>
      <c r="HN12" s="68" t="n">
        <f aca="false">COUNTIF(B12:HJ12,"N/A")</f>
        <v>0</v>
      </c>
      <c r="HO12" s="69" t="n">
        <f aca="false">IFERROR((HK12+HL12)/(HK12+HL12+HM12),0)</f>
        <v>0</v>
      </c>
    </row>
    <row r="13" customFormat="false" ht="15.75" hidden="false" customHeight="true" outlineLevel="0" collapsed="false">
      <c r="A13" s="62" t="str">
        <f aca="false">Roster!B13</f>
        <v>Resident 9</v>
      </c>
      <c r="B13" s="63"/>
      <c r="C13" s="63"/>
      <c r="D13" s="63"/>
      <c r="E13" s="63"/>
      <c r="F13" s="63"/>
      <c r="G13" s="63"/>
      <c r="H13" s="63"/>
      <c r="I13" s="64"/>
      <c r="J13" s="64"/>
      <c r="K13" s="64"/>
      <c r="L13" s="64"/>
      <c r="M13" s="64"/>
      <c r="N13" s="64"/>
      <c r="O13" s="64"/>
      <c r="P13" s="63"/>
      <c r="Q13" s="63"/>
      <c r="R13" s="63"/>
      <c r="S13" s="63"/>
      <c r="T13" s="63"/>
      <c r="U13" s="63"/>
      <c r="V13" s="63"/>
      <c r="W13" s="64"/>
      <c r="X13" s="64"/>
      <c r="Y13" s="64"/>
      <c r="Z13" s="64"/>
      <c r="AA13" s="64"/>
      <c r="AB13" s="64"/>
      <c r="AC13" s="64"/>
      <c r="AD13" s="63"/>
      <c r="AE13" s="63"/>
      <c r="AF13" s="63"/>
      <c r="AG13" s="63"/>
      <c r="AH13" s="63"/>
      <c r="AI13" s="63"/>
      <c r="AJ13" s="63"/>
      <c r="AK13" s="64"/>
      <c r="AL13" s="64"/>
      <c r="AM13" s="64"/>
      <c r="AN13" s="64"/>
      <c r="AO13" s="64"/>
      <c r="AP13" s="64"/>
      <c r="AQ13" s="64"/>
      <c r="AR13" s="63"/>
      <c r="AS13" s="63"/>
      <c r="AT13" s="63"/>
      <c r="AU13" s="63"/>
      <c r="AV13" s="63"/>
      <c r="AW13" s="63"/>
      <c r="AX13" s="63"/>
      <c r="AY13" s="64"/>
      <c r="AZ13" s="64"/>
      <c r="BA13" s="64"/>
      <c r="BB13" s="64"/>
      <c r="BC13" s="64"/>
      <c r="BD13" s="64"/>
      <c r="BE13" s="64"/>
      <c r="BF13" s="63"/>
      <c r="BG13" s="63"/>
      <c r="BH13" s="63"/>
      <c r="BI13" s="63"/>
      <c r="BJ13" s="63"/>
      <c r="BK13" s="63"/>
      <c r="BL13" s="63"/>
      <c r="BM13" s="64"/>
      <c r="BN13" s="64"/>
      <c r="BO13" s="64"/>
      <c r="BP13" s="64"/>
      <c r="BQ13" s="64"/>
      <c r="BR13" s="64"/>
      <c r="BS13" s="64"/>
      <c r="BT13" s="63"/>
      <c r="BU13" s="63"/>
      <c r="BV13" s="63"/>
      <c r="BW13" s="63"/>
      <c r="BX13" s="63"/>
      <c r="BY13" s="63"/>
      <c r="BZ13" s="63"/>
      <c r="CA13" s="64"/>
      <c r="CB13" s="64"/>
      <c r="CC13" s="64"/>
      <c r="CD13" s="64"/>
      <c r="CE13" s="64"/>
      <c r="CF13" s="64"/>
      <c r="CG13" s="64"/>
      <c r="CH13" s="63"/>
      <c r="CI13" s="63"/>
      <c r="CJ13" s="63"/>
      <c r="CK13" s="63"/>
      <c r="CL13" s="63"/>
      <c r="CM13" s="63"/>
      <c r="CN13" s="63"/>
      <c r="CO13" s="64"/>
      <c r="CP13" s="64"/>
      <c r="CQ13" s="64"/>
      <c r="CR13" s="64"/>
      <c r="CS13" s="64"/>
      <c r="CT13" s="64"/>
      <c r="CU13" s="64"/>
      <c r="CV13" s="63"/>
      <c r="CW13" s="63"/>
      <c r="CX13" s="63"/>
      <c r="CY13" s="63"/>
      <c r="CZ13" s="63"/>
      <c r="DA13" s="63"/>
      <c r="DB13" s="63"/>
      <c r="DC13" s="64"/>
      <c r="DD13" s="64"/>
      <c r="DE13" s="64"/>
      <c r="DF13" s="64"/>
      <c r="DG13" s="64"/>
      <c r="DH13" s="64"/>
      <c r="DI13" s="64"/>
      <c r="DJ13" s="63"/>
      <c r="DK13" s="63"/>
      <c r="DL13" s="63"/>
      <c r="DM13" s="63"/>
      <c r="DN13" s="63"/>
      <c r="DO13" s="63"/>
      <c r="DP13" s="63"/>
      <c r="DQ13" s="64"/>
      <c r="DR13" s="64"/>
      <c r="DS13" s="64"/>
      <c r="DT13" s="64"/>
      <c r="DU13" s="64"/>
      <c r="DV13" s="64"/>
      <c r="DW13" s="64"/>
      <c r="DX13" s="63"/>
      <c r="DY13" s="63"/>
      <c r="DZ13" s="63"/>
      <c r="EA13" s="63"/>
      <c r="EB13" s="63"/>
      <c r="EC13" s="63"/>
      <c r="ED13" s="63"/>
      <c r="EE13" s="64"/>
      <c r="EF13" s="64"/>
      <c r="EG13" s="64"/>
      <c r="EH13" s="64"/>
      <c r="EI13" s="64"/>
      <c r="EJ13" s="64"/>
      <c r="EK13" s="64"/>
      <c r="EL13" s="63"/>
      <c r="EM13" s="63"/>
      <c r="EN13" s="63"/>
      <c r="EO13" s="63"/>
      <c r="EP13" s="63"/>
      <c r="EQ13" s="63"/>
      <c r="ER13" s="63"/>
      <c r="ES13" s="64"/>
      <c r="ET13" s="64"/>
      <c r="EU13" s="64"/>
      <c r="EV13" s="64"/>
      <c r="EW13" s="64"/>
      <c r="EX13" s="64"/>
      <c r="EY13" s="64"/>
      <c r="EZ13" s="63"/>
      <c r="FA13" s="63"/>
      <c r="FB13" s="63"/>
      <c r="FC13" s="63"/>
      <c r="FD13" s="63"/>
      <c r="FE13" s="63"/>
      <c r="FF13" s="63"/>
      <c r="FG13" s="64"/>
      <c r="FH13" s="64"/>
      <c r="FI13" s="64"/>
      <c r="FJ13" s="64"/>
      <c r="FK13" s="64"/>
      <c r="FL13" s="64"/>
      <c r="FM13" s="64"/>
      <c r="FN13" s="63"/>
      <c r="FO13" s="63"/>
      <c r="FP13" s="63"/>
      <c r="FQ13" s="63"/>
      <c r="FR13" s="63"/>
      <c r="FS13" s="63"/>
      <c r="FT13" s="63"/>
      <c r="FU13" s="64"/>
      <c r="FV13" s="64"/>
      <c r="FW13" s="64"/>
      <c r="FX13" s="64"/>
      <c r="FY13" s="64"/>
      <c r="FZ13" s="64"/>
      <c r="GA13" s="64"/>
      <c r="GB13" s="63"/>
      <c r="GC13" s="63"/>
      <c r="GD13" s="63"/>
      <c r="GE13" s="63"/>
      <c r="GF13" s="63"/>
      <c r="GG13" s="63"/>
      <c r="GH13" s="63"/>
      <c r="GI13" s="64"/>
      <c r="GJ13" s="64"/>
      <c r="GK13" s="64"/>
      <c r="GL13" s="64"/>
      <c r="GM13" s="64"/>
      <c r="GN13" s="64"/>
      <c r="GO13" s="64"/>
      <c r="GP13" s="63"/>
      <c r="GQ13" s="63"/>
      <c r="GR13" s="63"/>
      <c r="GS13" s="63"/>
      <c r="GT13" s="63"/>
      <c r="GU13" s="63"/>
      <c r="GV13" s="63"/>
      <c r="GW13" s="64"/>
      <c r="GX13" s="64"/>
      <c r="GY13" s="64"/>
      <c r="GZ13" s="64"/>
      <c r="HA13" s="64"/>
      <c r="HB13" s="64"/>
      <c r="HC13" s="64"/>
      <c r="HD13" s="63"/>
      <c r="HE13" s="63"/>
      <c r="HF13" s="63"/>
      <c r="HG13" s="63"/>
      <c r="HH13" s="63"/>
      <c r="HI13" s="63"/>
      <c r="HJ13" s="63"/>
      <c r="HK13" s="65" t="n">
        <f aca="false">COUNTIF(B13:HJ13,"A")</f>
        <v>0</v>
      </c>
      <c r="HL13" s="66" t="n">
        <f aca="false">COUNTIF(B13:HJ13,"O")</f>
        <v>0</v>
      </c>
      <c r="HM13" s="67" t="n">
        <f aca="false">COUNTIF(B13:HJ13,"D")</f>
        <v>0</v>
      </c>
      <c r="HN13" s="68" t="n">
        <f aca="false">COUNTIF(B13:HJ13,"N/A")</f>
        <v>0</v>
      </c>
      <c r="HO13" s="69" t="n">
        <f aca="false">IFERROR((HK13+HL13)/(HK13+HL13+HM13),0)</f>
        <v>0</v>
      </c>
    </row>
    <row r="14" customFormat="false" ht="15.75" hidden="false" customHeight="true" outlineLevel="0" collapsed="false">
      <c r="A14" s="62" t="str">
        <f aca="false">Roster!B14</f>
        <v>Resident 10</v>
      </c>
      <c r="B14" s="63"/>
      <c r="C14" s="63"/>
      <c r="D14" s="63"/>
      <c r="E14" s="63"/>
      <c r="F14" s="63"/>
      <c r="G14" s="63"/>
      <c r="H14" s="63"/>
      <c r="I14" s="64"/>
      <c r="J14" s="64"/>
      <c r="K14" s="64"/>
      <c r="L14" s="64"/>
      <c r="M14" s="64"/>
      <c r="N14" s="64"/>
      <c r="O14" s="64"/>
      <c r="P14" s="63"/>
      <c r="Q14" s="63"/>
      <c r="R14" s="63"/>
      <c r="S14" s="63"/>
      <c r="T14" s="63"/>
      <c r="U14" s="63"/>
      <c r="V14" s="63"/>
      <c r="W14" s="64"/>
      <c r="X14" s="64"/>
      <c r="Y14" s="64"/>
      <c r="Z14" s="64"/>
      <c r="AA14" s="64"/>
      <c r="AB14" s="64"/>
      <c r="AC14" s="64"/>
      <c r="AD14" s="63"/>
      <c r="AE14" s="63"/>
      <c r="AF14" s="63"/>
      <c r="AG14" s="63"/>
      <c r="AH14" s="63"/>
      <c r="AI14" s="63"/>
      <c r="AJ14" s="63"/>
      <c r="AK14" s="64"/>
      <c r="AL14" s="64"/>
      <c r="AM14" s="64"/>
      <c r="AN14" s="64"/>
      <c r="AO14" s="64"/>
      <c r="AP14" s="64"/>
      <c r="AQ14" s="64"/>
      <c r="AR14" s="63"/>
      <c r="AS14" s="63"/>
      <c r="AT14" s="63"/>
      <c r="AU14" s="63"/>
      <c r="AV14" s="63"/>
      <c r="AW14" s="63"/>
      <c r="AX14" s="63"/>
      <c r="AY14" s="64"/>
      <c r="AZ14" s="64"/>
      <c r="BA14" s="64"/>
      <c r="BB14" s="64"/>
      <c r="BC14" s="64"/>
      <c r="BD14" s="64"/>
      <c r="BE14" s="64"/>
      <c r="BF14" s="63"/>
      <c r="BG14" s="63"/>
      <c r="BH14" s="63"/>
      <c r="BI14" s="63"/>
      <c r="BJ14" s="63"/>
      <c r="BK14" s="63"/>
      <c r="BL14" s="63"/>
      <c r="BM14" s="64"/>
      <c r="BN14" s="64"/>
      <c r="BO14" s="64"/>
      <c r="BP14" s="64"/>
      <c r="BQ14" s="64"/>
      <c r="BR14" s="64"/>
      <c r="BS14" s="64"/>
      <c r="BT14" s="63"/>
      <c r="BU14" s="63"/>
      <c r="BV14" s="63"/>
      <c r="BW14" s="63"/>
      <c r="BX14" s="63"/>
      <c r="BY14" s="63"/>
      <c r="BZ14" s="63"/>
      <c r="CA14" s="64"/>
      <c r="CB14" s="64"/>
      <c r="CC14" s="64"/>
      <c r="CD14" s="64"/>
      <c r="CE14" s="64"/>
      <c r="CF14" s="64"/>
      <c r="CG14" s="64"/>
      <c r="CH14" s="63"/>
      <c r="CI14" s="63"/>
      <c r="CJ14" s="63"/>
      <c r="CK14" s="63"/>
      <c r="CL14" s="63"/>
      <c r="CM14" s="63"/>
      <c r="CN14" s="63"/>
      <c r="CO14" s="64"/>
      <c r="CP14" s="64"/>
      <c r="CQ14" s="64"/>
      <c r="CR14" s="64"/>
      <c r="CS14" s="64"/>
      <c r="CT14" s="64"/>
      <c r="CU14" s="64"/>
      <c r="CV14" s="63"/>
      <c r="CW14" s="63"/>
      <c r="CX14" s="63"/>
      <c r="CY14" s="63"/>
      <c r="CZ14" s="63"/>
      <c r="DA14" s="63"/>
      <c r="DB14" s="63"/>
      <c r="DC14" s="64"/>
      <c r="DD14" s="64"/>
      <c r="DE14" s="64"/>
      <c r="DF14" s="64"/>
      <c r="DG14" s="64"/>
      <c r="DH14" s="64"/>
      <c r="DI14" s="64"/>
      <c r="DJ14" s="63"/>
      <c r="DK14" s="63"/>
      <c r="DL14" s="63"/>
      <c r="DM14" s="63"/>
      <c r="DN14" s="63"/>
      <c r="DO14" s="63"/>
      <c r="DP14" s="63"/>
      <c r="DQ14" s="64"/>
      <c r="DR14" s="64"/>
      <c r="DS14" s="64"/>
      <c r="DT14" s="64"/>
      <c r="DU14" s="64"/>
      <c r="DV14" s="64"/>
      <c r="DW14" s="64"/>
      <c r="DX14" s="63"/>
      <c r="DY14" s="63"/>
      <c r="DZ14" s="63"/>
      <c r="EA14" s="63"/>
      <c r="EB14" s="63"/>
      <c r="EC14" s="63"/>
      <c r="ED14" s="63"/>
      <c r="EE14" s="64"/>
      <c r="EF14" s="64"/>
      <c r="EG14" s="64"/>
      <c r="EH14" s="64"/>
      <c r="EI14" s="64"/>
      <c r="EJ14" s="64"/>
      <c r="EK14" s="64"/>
      <c r="EL14" s="63"/>
      <c r="EM14" s="63"/>
      <c r="EN14" s="63"/>
      <c r="EO14" s="63"/>
      <c r="EP14" s="63"/>
      <c r="EQ14" s="63"/>
      <c r="ER14" s="63"/>
      <c r="ES14" s="64"/>
      <c r="ET14" s="64"/>
      <c r="EU14" s="64"/>
      <c r="EV14" s="64"/>
      <c r="EW14" s="64"/>
      <c r="EX14" s="64"/>
      <c r="EY14" s="64"/>
      <c r="EZ14" s="63"/>
      <c r="FA14" s="63"/>
      <c r="FB14" s="63"/>
      <c r="FC14" s="63"/>
      <c r="FD14" s="63"/>
      <c r="FE14" s="63"/>
      <c r="FF14" s="63"/>
      <c r="FG14" s="64"/>
      <c r="FH14" s="64"/>
      <c r="FI14" s="64"/>
      <c r="FJ14" s="64"/>
      <c r="FK14" s="64"/>
      <c r="FL14" s="64"/>
      <c r="FM14" s="64"/>
      <c r="FN14" s="63"/>
      <c r="FO14" s="63"/>
      <c r="FP14" s="63"/>
      <c r="FQ14" s="63"/>
      <c r="FR14" s="63"/>
      <c r="FS14" s="63"/>
      <c r="FT14" s="63"/>
      <c r="FU14" s="64"/>
      <c r="FV14" s="64"/>
      <c r="FW14" s="64"/>
      <c r="FX14" s="64"/>
      <c r="FY14" s="64"/>
      <c r="FZ14" s="64"/>
      <c r="GA14" s="64"/>
      <c r="GB14" s="63"/>
      <c r="GC14" s="63"/>
      <c r="GD14" s="63"/>
      <c r="GE14" s="63"/>
      <c r="GF14" s="63"/>
      <c r="GG14" s="63"/>
      <c r="GH14" s="63"/>
      <c r="GI14" s="64"/>
      <c r="GJ14" s="64"/>
      <c r="GK14" s="64"/>
      <c r="GL14" s="64"/>
      <c r="GM14" s="64"/>
      <c r="GN14" s="64"/>
      <c r="GO14" s="64"/>
      <c r="GP14" s="63"/>
      <c r="GQ14" s="63"/>
      <c r="GR14" s="63"/>
      <c r="GS14" s="63"/>
      <c r="GT14" s="63"/>
      <c r="GU14" s="63"/>
      <c r="GV14" s="63"/>
      <c r="GW14" s="64"/>
      <c r="GX14" s="64"/>
      <c r="GY14" s="64"/>
      <c r="GZ14" s="64"/>
      <c r="HA14" s="64"/>
      <c r="HB14" s="64"/>
      <c r="HC14" s="64"/>
      <c r="HD14" s="63"/>
      <c r="HE14" s="63"/>
      <c r="HF14" s="63"/>
      <c r="HG14" s="63"/>
      <c r="HH14" s="63"/>
      <c r="HI14" s="63"/>
      <c r="HJ14" s="63"/>
      <c r="HK14" s="65" t="n">
        <f aca="false">COUNTIF(B14:HJ14,"A")</f>
        <v>0</v>
      </c>
      <c r="HL14" s="66" t="n">
        <f aca="false">COUNTIF(B14:HJ14,"O")</f>
        <v>0</v>
      </c>
      <c r="HM14" s="67" t="n">
        <f aca="false">COUNTIF(B14:HJ14,"D")</f>
        <v>0</v>
      </c>
      <c r="HN14" s="68" t="n">
        <f aca="false">COUNTIF(B14:HJ14,"N/A")</f>
        <v>0</v>
      </c>
      <c r="HO14" s="69" t="n">
        <f aca="false">IFERROR((HK14+HL14)/(HK14+HL14+HM14),0)</f>
        <v>0</v>
      </c>
    </row>
    <row r="15" customFormat="false" ht="15.75" hidden="false" customHeight="true" outlineLevel="0" collapsed="false">
      <c r="A15" s="62" t="str">
        <f aca="false">Roster!B15</f>
        <v>Resident 11</v>
      </c>
      <c r="B15" s="63"/>
      <c r="C15" s="63"/>
      <c r="D15" s="63"/>
      <c r="E15" s="63"/>
      <c r="F15" s="63"/>
      <c r="G15" s="63"/>
      <c r="H15" s="63"/>
      <c r="I15" s="64"/>
      <c r="J15" s="64"/>
      <c r="K15" s="64"/>
      <c r="L15" s="64"/>
      <c r="M15" s="64"/>
      <c r="N15" s="64"/>
      <c r="O15" s="64"/>
      <c r="P15" s="63"/>
      <c r="Q15" s="63"/>
      <c r="R15" s="63"/>
      <c r="S15" s="63"/>
      <c r="T15" s="63"/>
      <c r="U15" s="63"/>
      <c r="V15" s="63"/>
      <c r="W15" s="64"/>
      <c r="X15" s="64"/>
      <c r="Y15" s="64"/>
      <c r="Z15" s="64"/>
      <c r="AA15" s="64"/>
      <c r="AB15" s="64"/>
      <c r="AC15" s="64"/>
      <c r="AD15" s="63"/>
      <c r="AE15" s="63"/>
      <c r="AF15" s="63"/>
      <c r="AG15" s="63"/>
      <c r="AH15" s="63"/>
      <c r="AI15" s="63"/>
      <c r="AJ15" s="63"/>
      <c r="AK15" s="64"/>
      <c r="AL15" s="64"/>
      <c r="AM15" s="64"/>
      <c r="AN15" s="64"/>
      <c r="AO15" s="64"/>
      <c r="AP15" s="64"/>
      <c r="AQ15" s="64"/>
      <c r="AR15" s="63"/>
      <c r="AS15" s="63"/>
      <c r="AT15" s="63"/>
      <c r="AU15" s="63"/>
      <c r="AV15" s="63"/>
      <c r="AW15" s="63"/>
      <c r="AX15" s="63"/>
      <c r="AY15" s="64"/>
      <c r="AZ15" s="64"/>
      <c r="BA15" s="64"/>
      <c r="BB15" s="64"/>
      <c r="BC15" s="64"/>
      <c r="BD15" s="64"/>
      <c r="BE15" s="64"/>
      <c r="BF15" s="63"/>
      <c r="BG15" s="63"/>
      <c r="BH15" s="63"/>
      <c r="BI15" s="63"/>
      <c r="BJ15" s="63"/>
      <c r="BK15" s="63"/>
      <c r="BL15" s="63"/>
      <c r="BM15" s="64"/>
      <c r="BN15" s="64"/>
      <c r="BO15" s="64"/>
      <c r="BP15" s="64"/>
      <c r="BQ15" s="64"/>
      <c r="BR15" s="64"/>
      <c r="BS15" s="64"/>
      <c r="BT15" s="63"/>
      <c r="BU15" s="63"/>
      <c r="BV15" s="63"/>
      <c r="BW15" s="63"/>
      <c r="BX15" s="63"/>
      <c r="BY15" s="63"/>
      <c r="BZ15" s="63"/>
      <c r="CA15" s="64"/>
      <c r="CB15" s="64"/>
      <c r="CC15" s="64"/>
      <c r="CD15" s="64"/>
      <c r="CE15" s="64"/>
      <c r="CF15" s="64"/>
      <c r="CG15" s="64"/>
      <c r="CH15" s="63"/>
      <c r="CI15" s="63"/>
      <c r="CJ15" s="63"/>
      <c r="CK15" s="63"/>
      <c r="CL15" s="63"/>
      <c r="CM15" s="63"/>
      <c r="CN15" s="63"/>
      <c r="CO15" s="64"/>
      <c r="CP15" s="64"/>
      <c r="CQ15" s="64"/>
      <c r="CR15" s="64"/>
      <c r="CS15" s="64"/>
      <c r="CT15" s="64"/>
      <c r="CU15" s="64"/>
      <c r="CV15" s="63"/>
      <c r="CW15" s="63"/>
      <c r="CX15" s="63"/>
      <c r="CY15" s="63"/>
      <c r="CZ15" s="63"/>
      <c r="DA15" s="63"/>
      <c r="DB15" s="63"/>
      <c r="DC15" s="64"/>
      <c r="DD15" s="64"/>
      <c r="DE15" s="64"/>
      <c r="DF15" s="64"/>
      <c r="DG15" s="64"/>
      <c r="DH15" s="64"/>
      <c r="DI15" s="64"/>
      <c r="DJ15" s="63"/>
      <c r="DK15" s="63"/>
      <c r="DL15" s="63"/>
      <c r="DM15" s="63"/>
      <c r="DN15" s="63"/>
      <c r="DO15" s="63"/>
      <c r="DP15" s="63"/>
      <c r="DQ15" s="64"/>
      <c r="DR15" s="64"/>
      <c r="DS15" s="64"/>
      <c r="DT15" s="64"/>
      <c r="DU15" s="64"/>
      <c r="DV15" s="64"/>
      <c r="DW15" s="64"/>
      <c r="DX15" s="63"/>
      <c r="DY15" s="63"/>
      <c r="DZ15" s="63"/>
      <c r="EA15" s="63"/>
      <c r="EB15" s="63"/>
      <c r="EC15" s="63"/>
      <c r="ED15" s="63"/>
      <c r="EE15" s="64"/>
      <c r="EF15" s="64"/>
      <c r="EG15" s="64"/>
      <c r="EH15" s="64"/>
      <c r="EI15" s="64"/>
      <c r="EJ15" s="64"/>
      <c r="EK15" s="64"/>
      <c r="EL15" s="63"/>
      <c r="EM15" s="63"/>
      <c r="EN15" s="63"/>
      <c r="EO15" s="63"/>
      <c r="EP15" s="63"/>
      <c r="EQ15" s="63"/>
      <c r="ER15" s="63"/>
      <c r="ES15" s="64"/>
      <c r="ET15" s="64"/>
      <c r="EU15" s="64"/>
      <c r="EV15" s="64"/>
      <c r="EW15" s="64"/>
      <c r="EX15" s="64"/>
      <c r="EY15" s="64"/>
      <c r="EZ15" s="63"/>
      <c r="FA15" s="63"/>
      <c r="FB15" s="63"/>
      <c r="FC15" s="63"/>
      <c r="FD15" s="63"/>
      <c r="FE15" s="63"/>
      <c r="FF15" s="63"/>
      <c r="FG15" s="64"/>
      <c r="FH15" s="64"/>
      <c r="FI15" s="64"/>
      <c r="FJ15" s="64"/>
      <c r="FK15" s="64"/>
      <c r="FL15" s="64"/>
      <c r="FM15" s="64"/>
      <c r="FN15" s="63"/>
      <c r="FO15" s="63"/>
      <c r="FP15" s="63"/>
      <c r="FQ15" s="63"/>
      <c r="FR15" s="63"/>
      <c r="FS15" s="63"/>
      <c r="FT15" s="63"/>
      <c r="FU15" s="64"/>
      <c r="FV15" s="64"/>
      <c r="FW15" s="64"/>
      <c r="FX15" s="64"/>
      <c r="FY15" s="64"/>
      <c r="FZ15" s="64"/>
      <c r="GA15" s="64"/>
      <c r="GB15" s="63"/>
      <c r="GC15" s="63"/>
      <c r="GD15" s="63"/>
      <c r="GE15" s="63"/>
      <c r="GF15" s="63"/>
      <c r="GG15" s="63"/>
      <c r="GH15" s="63"/>
      <c r="GI15" s="64"/>
      <c r="GJ15" s="64"/>
      <c r="GK15" s="64"/>
      <c r="GL15" s="64"/>
      <c r="GM15" s="64"/>
      <c r="GN15" s="64"/>
      <c r="GO15" s="64"/>
      <c r="GP15" s="63"/>
      <c r="GQ15" s="63"/>
      <c r="GR15" s="63"/>
      <c r="GS15" s="63"/>
      <c r="GT15" s="63"/>
      <c r="GU15" s="63"/>
      <c r="GV15" s="63"/>
      <c r="GW15" s="64"/>
      <c r="GX15" s="64"/>
      <c r="GY15" s="64"/>
      <c r="GZ15" s="64"/>
      <c r="HA15" s="64"/>
      <c r="HB15" s="64"/>
      <c r="HC15" s="64"/>
      <c r="HD15" s="63"/>
      <c r="HE15" s="63"/>
      <c r="HF15" s="63"/>
      <c r="HG15" s="63"/>
      <c r="HH15" s="63"/>
      <c r="HI15" s="63"/>
      <c r="HJ15" s="63"/>
      <c r="HK15" s="65" t="n">
        <f aca="false">COUNTIF(B15:HJ15,"A")</f>
        <v>0</v>
      </c>
      <c r="HL15" s="66" t="n">
        <f aca="false">COUNTIF(B15:HJ15,"O")</f>
        <v>0</v>
      </c>
      <c r="HM15" s="67" t="n">
        <f aca="false">COUNTIF(B15:HJ15,"D")</f>
        <v>0</v>
      </c>
      <c r="HN15" s="68" t="n">
        <f aca="false">COUNTIF(B15:HJ15,"N/A")</f>
        <v>0</v>
      </c>
      <c r="HO15" s="69" t="n">
        <f aca="false">IFERROR((HK15+HL15)/(HK15+HL15+HM15),0)</f>
        <v>0</v>
      </c>
    </row>
    <row r="16" customFormat="false" ht="15.75" hidden="false" customHeight="true" outlineLevel="0" collapsed="false">
      <c r="A16" s="62" t="str">
        <f aca="false">Roster!B16</f>
        <v>Resident 12</v>
      </c>
      <c r="B16" s="63"/>
      <c r="C16" s="63"/>
      <c r="D16" s="63"/>
      <c r="E16" s="63"/>
      <c r="F16" s="63"/>
      <c r="G16" s="63"/>
      <c r="H16" s="63"/>
      <c r="I16" s="64"/>
      <c r="J16" s="64"/>
      <c r="K16" s="64"/>
      <c r="L16" s="64"/>
      <c r="M16" s="64"/>
      <c r="N16" s="64"/>
      <c r="O16" s="64"/>
      <c r="P16" s="63"/>
      <c r="Q16" s="63"/>
      <c r="R16" s="63"/>
      <c r="S16" s="63"/>
      <c r="T16" s="63"/>
      <c r="U16" s="63"/>
      <c r="V16" s="63"/>
      <c r="W16" s="64"/>
      <c r="X16" s="64"/>
      <c r="Y16" s="64"/>
      <c r="Z16" s="64"/>
      <c r="AA16" s="64"/>
      <c r="AB16" s="64"/>
      <c r="AC16" s="64"/>
      <c r="AD16" s="63"/>
      <c r="AE16" s="63"/>
      <c r="AF16" s="63"/>
      <c r="AG16" s="63"/>
      <c r="AH16" s="63"/>
      <c r="AI16" s="63"/>
      <c r="AJ16" s="63"/>
      <c r="AK16" s="64"/>
      <c r="AL16" s="64"/>
      <c r="AM16" s="64"/>
      <c r="AN16" s="64"/>
      <c r="AO16" s="64"/>
      <c r="AP16" s="64"/>
      <c r="AQ16" s="64"/>
      <c r="AR16" s="63"/>
      <c r="AS16" s="63"/>
      <c r="AT16" s="63"/>
      <c r="AU16" s="63"/>
      <c r="AV16" s="63"/>
      <c r="AW16" s="63"/>
      <c r="AX16" s="63"/>
      <c r="AY16" s="64"/>
      <c r="AZ16" s="64"/>
      <c r="BA16" s="64"/>
      <c r="BB16" s="64"/>
      <c r="BC16" s="64"/>
      <c r="BD16" s="64"/>
      <c r="BE16" s="64"/>
      <c r="BF16" s="63"/>
      <c r="BG16" s="63"/>
      <c r="BH16" s="63"/>
      <c r="BI16" s="63"/>
      <c r="BJ16" s="63"/>
      <c r="BK16" s="63"/>
      <c r="BL16" s="63"/>
      <c r="BM16" s="64"/>
      <c r="BN16" s="64"/>
      <c r="BO16" s="64"/>
      <c r="BP16" s="64"/>
      <c r="BQ16" s="64"/>
      <c r="BR16" s="64"/>
      <c r="BS16" s="64"/>
      <c r="BT16" s="63"/>
      <c r="BU16" s="63"/>
      <c r="BV16" s="63"/>
      <c r="BW16" s="63"/>
      <c r="BX16" s="63"/>
      <c r="BY16" s="63"/>
      <c r="BZ16" s="63"/>
      <c r="CA16" s="64"/>
      <c r="CB16" s="64"/>
      <c r="CC16" s="64"/>
      <c r="CD16" s="64"/>
      <c r="CE16" s="64"/>
      <c r="CF16" s="64"/>
      <c r="CG16" s="64"/>
      <c r="CH16" s="63"/>
      <c r="CI16" s="63"/>
      <c r="CJ16" s="63"/>
      <c r="CK16" s="63"/>
      <c r="CL16" s="63"/>
      <c r="CM16" s="63"/>
      <c r="CN16" s="63"/>
      <c r="CO16" s="64"/>
      <c r="CP16" s="64"/>
      <c r="CQ16" s="64"/>
      <c r="CR16" s="64"/>
      <c r="CS16" s="64"/>
      <c r="CT16" s="64"/>
      <c r="CU16" s="64"/>
      <c r="CV16" s="63"/>
      <c r="CW16" s="63"/>
      <c r="CX16" s="63"/>
      <c r="CY16" s="63"/>
      <c r="CZ16" s="63"/>
      <c r="DA16" s="63"/>
      <c r="DB16" s="63"/>
      <c r="DC16" s="64"/>
      <c r="DD16" s="64"/>
      <c r="DE16" s="64"/>
      <c r="DF16" s="64"/>
      <c r="DG16" s="64"/>
      <c r="DH16" s="64"/>
      <c r="DI16" s="64"/>
      <c r="DJ16" s="63"/>
      <c r="DK16" s="63"/>
      <c r="DL16" s="63"/>
      <c r="DM16" s="63"/>
      <c r="DN16" s="63"/>
      <c r="DO16" s="63"/>
      <c r="DP16" s="63"/>
      <c r="DQ16" s="64"/>
      <c r="DR16" s="64"/>
      <c r="DS16" s="64"/>
      <c r="DT16" s="64"/>
      <c r="DU16" s="64"/>
      <c r="DV16" s="64"/>
      <c r="DW16" s="64"/>
      <c r="DX16" s="63"/>
      <c r="DY16" s="63"/>
      <c r="DZ16" s="63"/>
      <c r="EA16" s="63"/>
      <c r="EB16" s="63"/>
      <c r="EC16" s="63"/>
      <c r="ED16" s="63"/>
      <c r="EE16" s="64"/>
      <c r="EF16" s="64"/>
      <c r="EG16" s="64"/>
      <c r="EH16" s="64"/>
      <c r="EI16" s="64"/>
      <c r="EJ16" s="64"/>
      <c r="EK16" s="64"/>
      <c r="EL16" s="63"/>
      <c r="EM16" s="63"/>
      <c r="EN16" s="63"/>
      <c r="EO16" s="63"/>
      <c r="EP16" s="63"/>
      <c r="EQ16" s="63"/>
      <c r="ER16" s="63"/>
      <c r="ES16" s="64"/>
      <c r="ET16" s="64"/>
      <c r="EU16" s="64"/>
      <c r="EV16" s="64"/>
      <c r="EW16" s="64"/>
      <c r="EX16" s="64"/>
      <c r="EY16" s="64"/>
      <c r="EZ16" s="63"/>
      <c r="FA16" s="63"/>
      <c r="FB16" s="63"/>
      <c r="FC16" s="63"/>
      <c r="FD16" s="63"/>
      <c r="FE16" s="63"/>
      <c r="FF16" s="63"/>
      <c r="FG16" s="64"/>
      <c r="FH16" s="64"/>
      <c r="FI16" s="64"/>
      <c r="FJ16" s="64"/>
      <c r="FK16" s="64"/>
      <c r="FL16" s="64"/>
      <c r="FM16" s="64"/>
      <c r="FN16" s="63"/>
      <c r="FO16" s="63"/>
      <c r="FP16" s="63"/>
      <c r="FQ16" s="63"/>
      <c r="FR16" s="63"/>
      <c r="FS16" s="63"/>
      <c r="FT16" s="63"/>
      <c r="FU16" s="64"/>
      <c r="FV16" s="64"/>
      <c r="FW16" s="64"/>
      <c r="FX16" s="64"/>
      <c r="FY16" s="64"/>
      <c r="FZ16" s="64"/>
      <c r="GA16" s="64"/>
      <c r="GB16" s="63"/>
      <c r="GC16" s="63"/>
      <c r="GD16" s="63"/>
      <c r="GE16" s="63"/>
      <c r="GF16" s="63"/>
      <c r="GG16" s="63"/>
      <c r="GH16" s="63"/>
      <c r="GI16" s="64"/>
      <c r="GJ16" s="64"/>
      <c r="GK16" s="64"/>
      <c r="GL16" s="64"/>
      <c r="GM16" s="64"/>
      <c r="GN16" s="64"/>
      <c r="GO16" s="64"/>
      <c r="GP16" s="63"/>
      <c r="GQ16" s="63"/>
      <c r="GR16" s="63"/>
      <c r="GS16" s="63"/>
      <c r="GT16" s="63"/>
      <c r="GU16" s="63"/>
      <c r="GV16" s="63"/>
      <c r="GW16" s="64"/>
      <c r="GX16" s="64"/>
      <c r="GY16" s="64"/>
      <c r="GZ16" s="64"/>
      <c r="HA16" s="64"/>
      <c r="HB16" s="64"/>
      <c r="HC16" s="64"/>
      <c r="HD16" s="63"/>
      <c r="HE16" s="63"/>
      <c r="HF16" s="63"/>
      <c r="HG16" s="63"/>
      <c r="HH16" s="63"/>
      <c r="HI16" s="63"/>
      <c r="HJ16" s="63"/>
      <c r="HK16" s="65" t="n">
        <f aca="false">COUNTIF(B16:HJ16,"A")</f>
        <v>0</v>
      </c>
      <c r="HL16" s="66" t="n">
        <f aca="false">COUNTIF(B16:HJ16,"O")</f>
        <v>0</v>
      </c>
      <c r="HM16" s="67" t="n">
        <f aca="false">COUNTIF(B16:HJ16,"D")</f>
        <v>0</v>
      </c>
      <c r="HN16" s="68" t="n">
        <f aca="false">COUNTIF(B16:HJ16,"N/A")</f>
        <v>0</v>
      </c>
      <c r="HO16" s="69" t="n">
        <f aca="false">IFERROR((HK16+HL16)/(HK16+HL16+HM16),0)</f>
        <v>0</v>
      </c>
    </row>
    <row r="17" customFormat="false" ht="15.75" hidden="false" customHeight="true" outlineLevel="0" collapsed="false">
      <c r="A17" s="62" t="str">
        <f aca="false">Roster!B17</f>
        <v>Resident 13</v>
      </c>
      <c r="B17" s="63"/>
      <c r="C17" s="63"/>
      <c r="D17" s="63"/>
      <c r="E17" s="63"/>
      <c r="F17" s="63"/>
      <c r="G17" s="63"/>
      <c r="H17" s="63"/>
      <c r="I17" s="64"/>
      <c r="J17" s="64"/>
      <c r="K17" s="64"/>
      <c r="L17" s="64"/>
      <c r="M17" s="64"/>
      <c r="N17" s="64"/>
      <c r="O17" s="64"/>
      <c r="P17" s="63"/>
      <c r="Q17" s="63"/>
      <c r="R17" s="63"/>
      <c r="S17" s="63"/>
      <c r="T17" s="63"/>
      <c r="U17" s="63"/>
      <c r="V17" s="63"/>
      <c r="W17" s="64"/>
      <c r="X17" s="64"/>
      <c r="Y17" s="64"/>
      <c r="Z17" s="64"/>
      <c r="AA17" s="64"/>
      <c r="AB17" s="64"/>
      <c r="AC17" s="64"/>
      <c r="AD17" s="63"/>
      <c r="AE17" s="63"/>
      <c r="AF17" s="63"/>
      <c r="AG17" s="63"/>
      <c r="AH17" s="63"/>
      <c r="AI17" s="63"/>
      <c r="AJ17" s="63"/>
      <c r="AK17" s="64"/>
      <c r="AL17" s="64"/>
      <c r="AM17" s="64"/>
      <c r="AN17" s="64"/>
      <c r="AO17" s="64"/>
      <c r="AP17" s="64"/>
      <c r="AQ17" s="64"/>
      <c r="AR17" s="63"/>
      <c r="AS17" s="63"/>
      <c r="AT17" s="63"/>
      <c r="AU17" s="63"/>
      <c r="AV17" s="63"/>
      <c r="AW17" s="63"/>
      <c r="AX17" s="63"/>
      <c r="AY17" s="64"/>
      <c r="AZ17" s="64"/>
      <c r="BA17" s="64"/>
      <c r="BB17" s="64"/>
      <c r="BC17" s="64"/>
      <c r="BD17" s="64"/>
      <c r="BE17" s="64"/>
      <c r="BF17" s="63"/>
      <c r="BG17" s="63"/>
      <c r="BH17" s="63"/>
      <c r="BI17" s="63"/>
      <c r="BJ17" s="63"/>
      <c r="BK17" s="63"/>
      <c r="BL17" s="63"/>
      <c r="BM17" s="64"/>
      <c r="BN17" s="64"/>
      <c r="BO17" s="64"/>
      <c r="BP17" s="64"/>
      <c r="BQ17" s="64"/>
      <c r="BR17" s="64"/>
      <c r="BS17" s="64"/>
      <c r="BT17" s="63"/>
      <c r="BU17" s="63"/>
      <c r="BV17" s="63"/>
      <c r="BW17" s="63"/>
      <c r="BX17" s="63"/>
      <c r="BY17" s="63"/>
      <c r="BZ17" s="63"/>
      <c r="CA17" s="64"/>
      <c r="CB17" s="64"/>
      <c r="CC17" s="64"/>
      <c r="CD17" s="64"/>
      <c r="CE17" s="64"/>
      <c r="CF17" s="64"/>
      <c r="CG17" s="64"/>
      <c r="CH17" s="63"/>
      <c r="CI17" s="63"/>
      <c r="CJ17" s="63"/>
      <c r="CK17" s="63"/>
      <c r="CL17" s="63"/>
      <c r="CM17" s="63"/>
      <c r="CN17" s="63"/>
      <c r="CO17" s="64"/>
      <c r="CP17" s="64"/>
      <c r="CQ17" s="64"/>
      <c r="CR17" s="64"/>
      <c r="CS17" s="64"/>
      <c r="CT17" s="64"/>
      <c r="CU17" s="64"/>
      <c r="CV17" s="63"/>
      <c r="CW17" s="63"/>
      <c r="CX17" s="63"/>
      <c r="CY17" s="63"/>
      <c r="CZ17" s="63"/>
      <c r="DA17" s="63"/>
      <c r="DB17" s="63"/>
      <c r="DC17" s="64"/>
      <c r="DD17" s="64"/>
      <c r="DE17" s="64"/>
      <c r="DF17" s="64"/>
      <c r="DG17" s="64"/>
      <c r="DH17" s="64"/>
      <c r="DI17" s="64"/>
      <c r="DJ17" s="63"/>
      <c r="DK17" s="63"/>
      <c r="DL17" s="63"/>
      <c r="DM17" s="63"/>
      <c r="DN17" s="63"/>
      <c r="DO17" s="63"/>
      <c r="DP17" s="63"/>
      <c r="DQ17" s="64"/>
      <c r="DR17" s="64"/>
      <c r="DS17" s="64"/>
      <c r="DT17" s="64"/>
      <c r="DU17" s="64"/>
      <c r="DV17" s="64"/>
      <c r="DW17" s="64"/>
      <c r="DX17" s="63"/>
      <c r="DY17" s="63"/>
      <c r="DZ17" s="63"/>
      <c r="EA17" s="63"/>
      <c r="EB17" s="63"/>
      <c r="EC17" s="63"/>
      <c r="ED17" s="63"/>
      <c r="EE17" s="64"/>
      <c r="EF17" s="64"/>
      <c r="EG17" s="64"/>
      <c r="EH17" s="64"/>
      <c r="EI17" s="64"/>
      <c r="EJ17" s="64"/>
      <c r="EK17" s="64"/>
      <c r="EL17" s="63"/>
      <c r="EM17" s="63"/>
      <c r="EN17" s="63"/>
      <c r="EO17" s="63"/>
      <c r="EP17" s="63"/>
      <c r="EQ17" s="63"/>
      <c r="ER17" s="63"/>
      <c r="ES17" s="64"/>
      <c r="ET17" s="64"/>
      <c r="EU17" s="64"/>
      <c r="EV17" s="64"/>
      <c r="EW17" s="64"/>
      <c r="EX17" s="64"/>
      <c r="EY17" s="64"/>
      <c r="EZ17" s="63"/>
      <c r="FA17" s="63"/>
      <c r="FB17" s="63"/>
      <c r="FC17" s="63"/>
      <c r="FD17" s="63"/>
      <c r="FE17" s="63"/>
      <c r="FF17" s="63"/>
      <c r="FG17" s="64"/>
      <c r="FH17" s="64"/>
      <c r="FI17" s="64"/>
      <c r="FJ17" s="64"/>
      <c r="FK17" s="64"/>
      <c r="FL17" s="64"/>
      <c r="FM17" s="64"/>
      <c r="FN17" s="63"/>
      <c r="FO17" s="63"/>
      <c r="FP17" s="63"/>
      <c r="FQ17" s="63"/>
      <c r="FR17" s="63"/>
      <c r="FS17" s="63"/>
      <c r="FT17" s="63"/>
      <c r="FU17" s="64"/>
      <c r="FV17" s="64"/>
      <c r="FW17" s="64"/>
      <c r="FX17" s="64"/>
      <c r="FY17" s="64"/>
      <c r="FZ17" s="64"/>
      <c r="GA17" s="64"/>
      <c r="GB17" s="63"/>
      <c r="GC17" s="63"/>
      <c r="GD17" s="63"/>
      <c r="GE17" s="63"/>
      <c r="GF17" s="63"/>
      <c r="GG17" s="63"/>
      <c r="GH17" s="63"/>
      <c r="GI17" s="64"/>
      <c r="GJ17" s="64"/>
      <c r="GK17" s="64"/>
      <c r="GL17" s="64"/>
      <c r="GM17" s="64"/>
      <c r="GN17" s="64"/>
      <c r="GO17" s="64"/>
      <c r="GP17" s="63"/>
      <c r="GQ17" s="63"/>
      <c r="GR17" s="63"/>
      <c r="GS17" s="63"/>
      <c r="GT17" s="63"/>
      <c r="GU17" s="63"/>
      <c r="GV17" s="63"/>
      <c r="GW17" s="64"/>
      <c r="GX17" s="64"/>
      <c r="GY17" s="64"/>
      <c r="GZ17" s="64"/>
      <c r="HA17" s="64"/>
      <c r="HB17" s="64"/>
      <c r="HC17" s="64"/>
      <c r="HD17" s="63"/>
      <c r="HE17" s="63"/>
      <c r="HF17" s="63"/>
      <c r="HG17" s="63"/>
      <c r="HH17" s="63"/>
      <c r="HI17" s="63"/>
      <c r="HJ17" s="63"/>
      <c r="HK17" s="65" t="n">
        <f aca="false">COUNTIF(B17:HJ17,"A")</f>
        <v>0</v>
      </c>
      <c r="HL17" s="66" t="n">
        <f aca="false">COUNTIF(B17:HJ17,"O")</f>
        <v>0</v>
      </c>
      <c r="HM17" s="67" t="n">
        <f aca="false">COUNTIF(B17:HJ17,"D")</f>
        <v>0</v>
      </c>
      <c r="HN17" s="68" t="n">
        <f aca="false">COUNTIF(B17:HJ17,"N/A")</f>
        <v>0</v>
      </c>
      <c r="HO17" s="69" t="n">
        <f aca="false">IFERROR((HK17+HL17)/(HK17+HL17+HM17),0)</f>
        <v>0</v>
      </c>
    </row>
    <row r="18" customFormat="false" ht="15.75" hidden="false" customHeight="true" outlineLevel="0" collapsed="false">
      <c r="A18" s="62" t="str">
        <f aca="false">Roster!B18</f>
        <v>Resident 14</v>
      </c>
      <c r="B18" s="63"/>
      <c r="C18" s="63"/>
      <c r="D18" s="63"/>
      <c r="E18" s="63"/>
      <c r="F18" s="63"/>
      <c r="G18" s="63"/>
      <c r="H18" s="63"/>
      <c r="I18" s="64"/>
      <c r="J18" s="64"/>
      <c r="K18" s="64"/>
      <c r="L18" s="64"/>
      <c r="M18" s="64"/>
      <c r="N18" s="64"/>
      <c r="O18" s="64"/>
      <c r="P18" s="63"/>
      <c r="Q18" s="63"/>
      <c r="R18" s="63"/>
      <c r="S18" s="63"/>
      <c r="T18" s="63"/>
      <c r="U18" s="63"/>
      <c r="V18" s="63"/>
      <c r="W18" s="64"/>
      <c r="X18" s="64"/>
      <c r="Y18" s="64"/>
      <c r="Z18" s="64"/>
      <c r="AA18" s="64"/>
      <c r="AB18" s="64"/>
      <c r="AC18" s="64"/>
      <c r="AD18" s="63"/>
      <c r="AE18" s="63"/>
      <c r="AF18" s="63"/>
      <c r="AG18" s="63"/>
      <c r="AH18" s="63"/>
      <c r="AI18" s="63"/>
      <c r="AJ18" s="63"/>
      <c r="AK18" s="64"/>
      <c r="AL18" s="64"/>
      <c r="AM18" s="64"/>
      <c r="AN18" s="64"/>
      <c r="AO18" s="64"/>
      <c r="AP18" s="64"/>
      <c r="AQ18" s="64"/>
      <c r="AR18" s="63"/>
      <c r="AS18" s="63"/>
      <c r="AT18" s="63"/>
      <c r="AU18" s="63"/>
      <c r="AV18" s="63"/>
      <c r="AW18" s="63"/>
      <c r="AX18" s="63"/>
      <c r="AY18" s="64"/>
      <c r="AZ18" s="64"/>
      <c r="BA18" s="64"/>
      <c r="BB18" s="64"/>
      <c r="BC18" s="64"/>
      <c r="BD18" s="64"/>
      <c r="BE18" s="64"/>
      <c r="BF18" s="63"/>
      <c r="BG18" s="63"/>
      <c r="BH18" s="63"/>
      <c r="BI18" s="63"/>
      <c r="BJ18" s="63"/>
      <c r="BK18" s="63"/>
      <c r="BL18" s="63"/>
      <c r="BM18" s="64"/>
      <c r="BN18" s="64"/>
      <c r="BO18" s="64"/>
      <c r="BP18" s="64"/>
      <c r="BQ18" s="64"/>
      <c r="BR18" s="64"/>
      <c r="BS18" s="64"/>
      <c r="BT18" s="63"/>
      <c r="BU18" s="63"/>
      <c r="BV18" s="63"/>
      <c r="BW18" s="63"/>
      <c r="BX18" s="63"/>
      <c r="BY18" s="63"/>
      <c r="BZ18" s="63"/>
      <c r="CA18" s="64"/>
      <c r="CB18" s="64"/>
      <c r="CC18" s="64"/>
      <c r="CD18" s="64"/>
      <c r="CE18" s="64"/>
      <c r="CF18" s="64"/>
      <c r="CG18" s="64"/>
      <c r="CH18" s="63"/>
      <c r="CI18" s="63"/>
      <c r="CJ18" s="63"/>
      <c r="CK18" s="63"/>
      <c r="CL18" s="63"/>
      <c r="CM18" s="63"/>
      <c r="CN18" s="63"/>
      <c r="CO18" s="64"/>
      <c r="CP18" s="64"/>
      <c r="CQ18" s="64"/>
      <c r="CR18" s="64"/>
      <c r="CS18" s="64"/>
      <c r="CT18" s="64"/>
      <c r="CU18" s="64"/>
      <c r="CV18" s="63"/>
      <c r="CW18" s="63"/>
      <c r="CX18" s="63"/>
      <c r="CY18" s="63"/>
      <c r="CZ18" s="63"/>
      <c r="DA18" s="63"/>
      <c r="DB18" s="63"/>
      <c r="DC18" s="64"/>
      <c r="DD18" s="64"/>
      <c r="DE18" s="64"/>
      <c r="DF18" s="64"/>
      <c r="DG18" s="64"/>
      <c r="DH18" s="64"/>
      <c r="DI18" s="64"/>
      <c r="DJ18" s="63"/>
      <c r="DK18" s="63"/>
      <c r="DL18" s="63"/>
      <c r="DM18" s="63"/>
      <c r="DN18" s="63"/>
      <c r="DO18" s="63"/>
      <c r="DP18" s="63"/>
      <c r="DQ18" s="64"/>
      <c r="DR18" s="64"/>
      <c r="DS18" s="64"/>
      <c r="DT18" s="64"/>
      <c r="DU18" s="64"/>
      <c r="DV18" s="64"/>
      <c r="DW18" s="64"/>
      <c r="DX18" s="63"/>
      <c r="DY18" s="63"/>
      <c r="DZ18" s="63"/>
      <c r="EA18" s="63"/>
      <c r="EB18" s="63"/>
      <c r="EC18" s="63"/>
      <c r="ED18" s="63"/>
      <c r="EE18" s="64"/>
      <c r="EF18" s="64"/>
      <c r="EG18" s="64"/>
      <c r="EH18" s="64"/>
      <c r="EI18" s="64"/>
      <c r="EJ18" s="64"/>
      <c r="EK18" s="64"/>
      <c r="EL18" s="63"/>
      <c r="EM18" s="63"/>
      <c r="EN18" s="63"/>
      <c r="EO18" s="63"/>
      <c r="EP18" s="63"/>
      <c r="EQ18" s="63"/>
      <c r="ER18" s="63"/>
      <c r="ES18" s="64"/>
      <c r="ET18" s="64"/>
      <c r="EU18" s="64"/>
      <c r="EV18" s="64"/>
      <c r="EW18" s="64"/>
      <c r="EX18" s="64"/>
      <c r="EY18" s="64"/>
      <c r="EZ18" s="63"/>
      <c r="FA18" s="63"/>
      <c r="FB18" s="63"/>
      <c r="FC18" s="63"/>
      <c r="FD18" s="63"/>
      <c r="FE18" s="63"/>
      <c r="FF18" s="63"/>
      <c r="FG18" s="64"/>
      <c r="FH18" s="64"/>
      <c r="FI18" s="64"/>
      <c r="FJ18" s="64"/>
      <c r="FK18" s="64"/>
      <c r="FL18" s="64"/>
      <c r="FM18" s="64"/>
      <c r="FN18" s="63"/>
      <c r="FO18" s="63"/>
      <c r="FP18" s="63"/>
      <c r="FQ18" s="63"/>
      <c r="FR18" s="63"/>
      <c r="FS18" s="63"/>
      <c r="FT18" s="63"/>
      <c r="FU18" s="64"/>
      <c r="FV18" s="64"/>
      <c r="FW18" s="64"/>
      <c r="FX18" s="64"/>
      <c r="FY18" s="64"/>
      <c r="FZ18" s="64"/>
      <c r="GA18" s="64"/>
      <c r="GB18" s="63"/>
      <c r="GC18" s="63"/>
      <c r="GD18" s="63"/>
      <c r="GE18" s="63"/>
      <c r="GF18" s="63"/>
      <c r="GG18" s="63"/>
      <c r="GH18" s="63"/>
      <c r="GI18" s="64"/>
      <c r="GJ18" s="64"/>
      <c r="GK18" s="64"/>
      <c r="GL18" s="64"/>
      <c r="GM18" s="64"/>
      <c r="GN18" s="64"/>
      <c r="GO18" s="64"/>
      <c r="GP18" s="63"/>
      <c r="GQ18" s="63"/>
      <c r="GR18" s="63"/>
      <c r="GS18" s="63"/>
      <c r="GT18" s="63"/>
      <c r="GU18" s="63"/>
      <c r="GV18" s="63"/>
      <c r="GW18" s="64"/>
      <c r="GX18" s="64"/>
      <c r="GY18" s="64"/>
      <c r="GZ18" s="64"/>
      <c r="HA18" s="64"/>
      <c r="HB18" s="64"/>
      <c r="HC18" s="64"/>
      <c r="HD18" s="63"/>
      <c r="HE18" s="63"/>
      <c r="HF18" s="63"/>
      <c r="HG18" s="63"/>
      <c r="HH18" s="63"/>
      <c r="HI18" s="63"/>
      <c r="HJ18" s="63"/>
      <c r="HK18" s="65" t="n">
        <f aca="false">COUNTIF(B18:HJ18,"A")</f>
        <v>0</v>
      </c>
      <c r="HL18" s="66" t="n">
        <f aca="false">COUNTIF(B18:HJ18,"O")</f>
        <v>0</v>
      </c>
      <c r="HM18" s="67" t="n">
        <f aca="false">COUNTIF(B18:HJ18,"D")</f>
        <v>0</v>
      </c>
      <c r="HN18" s="68" t="n">
        <f aca="false">COUNTIF(B18:HJ18,"N/A")</f>
        <v>0</v>
      </c>
      <c r="HO18" s="69" t="n">
        <f aca="false">IFERROR((HK18+HL18)/(HK18+HL18+HM18),0)</f>
        <v>0</v>
      </c>
    </row>
    <row r="19" customFormat="false" ht="15.75" hidden="false" customHeight="true" outlineLevel="0" collapsed="false">
      <c r="A19" s="62" t="str">
        <f aca="false">Roster!B19</f>
        <v>Resident 15</v>
      </c>
      <c r="B19" s="63"/>
      <c r="C19" s="63"/>
      <c r="D19" s="63"/>
      <c r="E19" s="63"/>
      <c r="F19" s="63"/>
      <c r="G19" s="63"/>
      <c r="H19" s="63"/>
      <c r="I19" s="64"/>
      <c r="J19" s="64"/>
      <c r="K19" s="64"/>
      <c r="L19" s="64"/>
      <c r="M19" s="64"/>
      <c r="N19" s="64"/>
      <c r="O19" s="64"/>
      <c r="P19" s="63"/>
      <c r="Q19" s="63"/>
      <c r="R19" s="63"/>
      <c r="S19" s="63"/>
      <c r="T19" s="63"/>
      <c r="U19" s="63"/>
      <c r="V19" s="63"/>
      <c r="W19" s="64"/>
      <c r="X19" s="64"/>
      <c r="Y19" s="64"/>
      <c r="Z19" s="64"/>
      <c r="AA19" s="64"/>
      <c r="AB19" s="64"/>
      <c r="AC19" s="64"/>
      <c r="AD19" s="63"/>
      <c r="AE19" s="63"/>
      <c r="AF19" s="63"/>
      <c r="AG19" s="63"/>
      <c r="AH19" s="63"/>
      <c r="AI19" s="63"/>
      <c r="AJ19" s="63"/>
      <c r="AK19" s="64"/>
      <c r="AL19" s="64"/>
      <c r="AM19" s="64"/>
      <c r="AN19" s="64"/>
      <c r="AO19" s="64"/>
      <c r="AP19" s="64"/>
      <c r="AQ19" s="64"/>
      <c r="AR19" s="63"/>
      <c r="AS19" s="63"/>
      <c r="AT19" s="63"/>
      <c r="AU19" s="63"/>
      <c r="AV19" s="63"/>
      <c r="AW19" s="63"/>
      <c r="AX19" s="63"/>
      <c r="AY19" s="64"/>
      <c r="AZ19" s="64"/>
      <c r="BA19" s="64"/>
      <c r="BB19" s="64"/>
      <c r="BC19" s="64"/>
      <c r="BD19" s="64"/>
      <c r="BE19" s="64"/>
      <c r="BF19" s="63"/>
      <c r="BG19" s="63"/>
      <c r="BH19" s="63"/>
      <c r="BI19" s="63"/>
      <c r="BJ19" s="63"/>
      <c r="BK19" s="63"/>
      <c r="BL19" s="63"/>
      <c r="BM19" s="64"/>
      <c r="BN19" s="64"/>
      <c r="BO19" s="64"/>
      <c r="BP19" s="64"/>
      <c r="BQ19" s="64"/>
      <c r="BR19" s="64"/>
      <c r="BS19" s="64"/>
      <c r="BT19" s="63"/>
      <c r="BU19" s="63"/>
      <c r="BV19" s="63"/>
      <c r="BW19" s="63"/>
      <c r="BX19" s="63"/>
      <c r="BY19" s="63"/>
      <c r="BZ19" s="63"/>
      <c r="CA19" s="64"/>
      <c r="CB19" s="64"/>
      <c r="CC19" s="64"/>
      <c r="CD19" s="64"/>
      <c r="CE19" s="64"/>
      <c r="CF19" s="64"/>
      <c r="CG19" s="64"/>
      <c r="CH19" s="63"/>
      <c r="CI19" s="63"/>
      <c r="CJ19" s="63"/>
      <c r="CK19" s="63"/>
      <c r="CL19" s="63"/>
      <c r="CM19" s="63"/>
      <c r="CN19" s="63"/>
      <c r="CO19" s="64"/>
      <c r="CP19" s="64"/>
      <c r="CQ19" s="64"/>
      <c r="CR19" s="64"/>
      <c r="CS19" s="64"/>
      <c r="CT19" s="64"/>
      <c r="CU19" s="64"/>
      <c r="CV19" s="63"/>
      <c r="CW19" s="63"/>
      <c r="CX19" s="63"/>
      <c r="CY19" s="63"/>
      <c r="CZ19" s="63"/>
      <c r="DA19" s="63"/>
      <c r="DB19" s="63"/>
      <c r="DC19" s="64"/>
      <c r="DD19" s="64"/>
      <c r="DE19" s="64"/>
      <c r="DF19" s="64"/>
      <c r="DG19" s="64"/>
      <c r="DH19" s="64"/>
      <c r="DI19" s="64"/>
      <c r="DJ19" s="63"/>
      <c r="DK19" s="63"/>
      <c r="DL19" s="63"/>
      <c r="DM19" s="63"/>
      <c r="DN19" s="63"/>
      <c r="DO19" s="63"/>
      <c r="DP19" s="63"/>
      <c r="DQ19" s="64"/>
      <c r="DR19" s="64"/>
      <c r="DS19" s="64"/>
      <c r="DT19" s="64"/>
      <c r="DU19" s="64"/>
      <c r="DV19" s="64"/>
      <c r="DW19" s="64"/>
      <c r="DX19" s="63"/>
      <c r="DY19" s="63"/>
      <c r="DZ19" s="63"/>
      <c r="EA19" s="63"/>
      <c r="EB19" s="63"/>
      <c r="EC19" s="63"/>
      <c r="ED19" s="63"/>
      <c r="EE19" s="64"/>
      <c r="EF19" s="64"/>
      <c r="EG19" s="64"/>
      <c r="EH19" s="64"/>
      <c r="EI19" s="64"/>
      <c r="EJ19" s="64"/>
      <c r="EK19" s="64"/>
      <c r="EL19" s="63"/>
      <c r="EM19" s="63"/>
      <c r="EN19" s="63"/>
      <c r="EO19" s="63"/>
      <c r="EP19" s="63"/>
      <c r="EQ19" s="63"/>
      <c r="ER19" s="63"/>
      <c r="ES19" s="64"/>
      <c r="ET19" s="64"/>
      <c r="EU19" s="64"/>
      <c r="EV19" s="64"/>
      <c r="EW19" s="64"/>
      <c r="EX19" s="64"/>
      <c r="EY19" s="64"/>
      <c r="EZ19" s="63"/>
      <c r="FA19" s="63"/>
      <c r="FB19" s="63"/>
      <c r="FC19" s="63"/>
      <c r="FD19" s="63"/>
      <c r="FE19" s="63"/>
      <c r="FF19" s="63"/>
      <c r="FG19" s="64"/>
      <c r="FH19" s="64"/>
      <c r="FI19" s="64"/>
      <c r="FJ19" s="64"/>
      <c r="FK19" s="64"/>
      <c r="FL19" s="64"/>
      <c r="FM19" s="64"/>
      <c r="FN19" s="63"/>
      <c r="FO19" s="63"/>
      <c r="FP19" s="63"/>
      <c r="FQ19" s="63"/>
      <c r="FR19" s="63"/>
      <c r="FS19" s="63"/>
      <c r="FT19" s="63"/>
      <c r="FU19" s="64"/>
      <c r="FV19" s="64"/>
      <c r="FW19" s="64"/>
      <c r="FX19" s="64"/>
      <c r="FY19" s="64"/>
      <c r="FZ19" s="64"/>
      <c r="GA19" s="64"/>
      <c r="GB19" s="63"/>
      <c r="GC19" s="63"/>
      <c r="GD19" s="63"/>
      <c r="GE19" s="63"/>
      <c r="GF19" s="63"/>
      <c r="GG19" s="63"/>
      <c r="GH19" s="63"/>
      <c r="GI19" s="64"/>
      <c r="GJ19" s="64"/>
      <c r="GK19" s="64"/>
      <c r="GL19" s="64"/>
      <c r="GM19" s="64"/>
      <c r="GN19" s="64"/>
      <c r="GO19" s="64"/>
      <c r="GP19" s="63"/>
      <c r="GQ19" s="63"/>
      <c r="GR19" s="63"/>
      <c r="GS19" s="63"/>
      <c r="GT19" s="63"/>
      <c r="GU19" s="63"/>
      <c r="GV19" s="63"/>
      <c r="GW19" s="64"/>
      <c r="GX19" s="64"/>
      <c r="GY19" s="64"/>
      <c r="GZ19" s="64"/>
      <c r="HA19" s="64"/>
      <c r="HB19" s="64"/>
      <c r="HC19" s="64"/>
      <c r="HD19" s="63"/>
      <c r="HE19" s="63"/>
      <c r="HF19" s="63"/>
      <c r="HG19" s="63"/>
      <c r="HH19" s="63"/>
      <c r="HI19" s="63"/>
      <c r="HJ19" s="63"/>
      <c r="HK19" s="65" t="n">
        <f aca="false">COUNTIF(B19:HJ19,"A")</f>
        <v>0</v>
      </c>
      <c r="HL19" s="66" t="n">
        <f aca="false">COUNTIF(B19:HJ19,"O")</f>
        <v>0</v>
      </c>
      <c r="HM19" s="67" t="n">
        <f aca="false">COUNTIF(B19:HJ19,"D")</f>
        <v>0</v>
      </c>
      <c r="HN19" s="68" t="n">
        <f aca="false">COUNTIF(B19:HJ19,"N/A")</f>
        <v>0</v>
      </c>
      <c r="HO19" s="69" t="n">
        <f aca="false">IFERROR((HK19+HL19)/(HK19+HL19+HM19),0)</f>
        <v>0</v>
      </c>
    </row>
    <row r="20" customFormat="false" ht="15.75" hidden="false" customHeight="true" outlineLevel="0" collapsed="false">
      <c r="A20" s="62" t="n">
        <f aca="false">Roster!B20</f>
        <v>0</v>
      </c>
      <c r="B20" s="63"/>
      <c r="C20" s="63"/>
      <c r="D20" s="63"/>
      <c r="E20" s="63"/>
      <c r="F20" s="63"/>
      <c r="G20" s="63"/>
      <c r="H20" s="63"/>
      <c r="I20" s="64"/>
      <c r="J20" s="64"/>
      <c r="K20" s="64"/>
      <c r="L20" s="64"/>
      <c r="M20" s="64"/>
      <c r="N20" s="64"/>
      <c r="O20" s="64"/>
      <c r="P20" s="63"/>
      <c r="Q20" s="63"/>
      <c r="R20" s="63"/>
      <c r="S20" s="63"/>
      <c r="T20" s="63"/>
      <c r="U20" s="63"/>
      <c r="V20" s="63"/>
      <c r="W20" s="64"/>
      <c r="X20" s="64"/>
      <c r="Y20" s="64"/>
      <c r="Z20" s="64"/>
      <c r="AA20" s="64"/>
      <c r="AB20" s="64"/>
      <c r="AC20" s="64"/>
      <c r="AD20" s="63"/>
      <c r="AE20" s="63"/>
      <c r="AF20" s="63"/>
      <c r="AG20" s="63"/>
      <c r="AH20" s="63"/>
      <c r="AI20" s="63"/>
      <c r="AJ20" s="63"/>
      <c r="AK20" s="64"/>
      <c r="AL20" s="64"/>
      <c r="AM20" s="64"/>
      <c r="AN20" s="64"/>
      <c r="AO20" s="64"/>
      <c r="AP20" s="64"/>
      <c r="AQ20" s="64"/>
      <c r="AR20" s="63"/>
      <c r="AS20" s="63"/>
      <c r="AT20" s="63"/>
      <c r="AU20" s="63"/>
      <c r="AV20" s="63"/>
      <c r="AW20" s="63"/>
      <c r="AX20" s="63"/>
      <c r="AY20" s="64"/>
      <c r="AZ20" s="64"/>
      <c r="BA20" s="64"/>
      <c r="BB20" s="64"/>
      <c r="BC20" s="64"/>
      <c r="BD20" s="64"/>
      <c r="BE20" s="64"/>
      <c r="BF20" s="63"/>
      <c r="BG20" s="63"/>
      <c r="BH20" s="63"/>
      <c r="BI20" s="63"/>
      <c r="BJ20" s="63"/>
      <c r="BK20" s="63"/>
      <c r="BL20" s="63"/>
      <c r="BM20" s="64"/>
      <c r="BN20" s="64"/>
      <c r="BO20" s="64"/>
      <c r="BP20" s="64"/>
      <c r="BQ20" s="64"/>
      <c r="BR20" s="64"/>
      <c r="BS20" s="64"/>
      <c r="BT20" s="63"/>
      <c r="BU20" s="63"/>
      <c r="BV20" s="63"/>
      <c r="BW20" s="63"/>
      <c r="BX20" s="63"/>
      <c r="BY20" s="63"/>
      <c r="BZ20" s="63"/>
      <c r="CA20" s="64"/>
      <c r="CB20" s="64"/>
      <c r="CC20" s="64"/>
      <c r="CD20" s="64"/>
      <c r="CE20" s="64"/>
      <c r="CF20" s="64"/>
      <c r="CG20" s="64"/>
      <c r="CH20" s="63"/>
      <c r="CI20" s="63"/>
      <c r="CJ20" s="63"/>
      <c r="CK20" s="63"/>
      <c r="CL20" s="63"/>
      <c r="CM20" s="63"/>
      <c r="CN20" s="63"/>
      <c r="CO20" s="64"/>
      <c r="CP20" s="64"/>
      <c r="CQ20" s="64"/>
      <c r="CR20" s="64"/>
      <c r="CS20" s="64"/>
      <c r="CT20" s="64"/>
      <c r="CU20" s="64"/>
      <c r="CV20" s="63"/>
      <c r="CW20" s="63"/>
      <c r="CX20" s="63"/>
      <c r="CY20" s="63"/>
      <c r="CZ20" s="63"/>
      <c r="DA20" s="63"/>
      <c r="DB20" s="63"/>
      <c r="DC20" s="64"/>
      <c r="DD20" s="64"/>
      <c r="DE20" s="64"/>
      <c r="DF20" s="64"/>
      <c r="DG20" s="64"/>
      <c r="DH20" s="64"/>
      <c r="DI20" s="64"/>
      <c r="DJ20" s="63"/>
      <c r="DK20" s="63"/>
      <c r="DL20" s="63"/>
      <c r="DM20" s="63"/>
      <c r="DN20" s="63"/>
      <c r="DO20" s="63"/>
      <c r="DP20" s="63"/>
      <c r="DQ20" s="64"/>
      <c r="DR20" s="64"/>
      <c r="DS20" s="64"/>
      <c r="DT20" s="64"/>
      <c r="DU20" s="64"/>
      <c r="DV20" s="64"/>
      <c r="DW20" s="64"/>
      <c r="DX20" s="63"/>
      <c r="DY20" s="63"/>
      <c r="DZ20" s="63"/>
      <c r="EA20" s="63"/>
      <c r="EB20" s="63"/>
      <c r="EC20" s="63"/>
      <c r="ED20" s="63"/>
      <c r="EE20" s="64"/>
      <c r="EF20" s="64"/>
      <c r="EG20" s="64"/>
      <c r="EH20" s="64"/>
      <c r="EI20" s="64"/>
      <c r="EJ20" s="64"/>
      <c r="EK20" s="64"/>
      <c r="EL20" s="63"/>
      <c r="EM20" s="63"/>
      <c r="EN20" s="63"/>
      <c r="EO20" s="63"/>
      <c r="EP20" s="63"/>
      <c r="EQ20" s="63"/>
      <c r="ER20" s="63"/>
      <c r="ES20" s="64"/>
      <c r="ET20" s="64"/>
      <c r="EU20" s="64"/>
      <c r="EV20" s="64"/>
      <c r="EW20" s="64"/>
      <c r="EX20" s="64"/>
      <c r="EY20" s="64"/>
      <c r="EZ20" s="63"/>
      <c r="FA20" s="63"/>
      <c r="FB20" s="63"/>
      <c r="FC20" s="63"/>
      <c r="FD20" s="63"/>
      <c r="FE20" s="63"/>
      <c r="FF20" s="63"/>
      <c r="FG20" s="64"/>
      <c r="FH20" s="64"/>
      <c r="FI20" s="64"/>
      <c r="FJ20" s="64"/>
      <c r="FK20" s="64"/>
      <c r="FL20" s="64"/>
      <c r="FM20" s="64"/>
      <c r="FN20" s="63"/>
      <c r="FO20" s="63"/>
      <c r="FP20" s="63"/>
      <c r="FQ20" s="63"/>
      <c r="FR20" s="63"/>
      <c r="FS20" s="63"/>
      <c r="FT20" s="63"/>
      <c r="FU20" s="64"/>
      <c r="FV20" s="64"/>
      <c r="FW20" s="64"/>
      <c r="FX20" s="64"/>
      <c r="FY20" s="64"/>
      <c r="FZ20" s="64"/>
      <c r="GA20" s="64"/>
      <c r="GB20" s="63"/>
      <c r="GC20" s="63"/>
      <c r="GD20" s="63"/>
      <c r="GE20" s="63"/>
      <c r="GF20" s="63"/>
      <c r="GG20" s="63"/>
      <c r="GH20" s="63"/>
      <c r="GI20" s="64"/>
      <c r="GJ20" s="64"/>
      <c r="GK20" s="64"/>
      <c r="GL20" s="64"/>
      <c r="GM20" s="64"/>
      <c r="GN20" s="64"/>
      <c r="GO20" s="64"/>
      <c r="GP20" s="63"/>
      <c r="GQ20" s="63"/>
      <c r="GR20" s="63"/>
      <c r="GS20" s="63"/>
      <c r="GT20" s="63"/>
      <c r="GU20" s="63"/>
      <c r="GV20" s="63"/>
      <c r="GW20" s="64"/>
      <c r="GX20" s="64"/>
      <c r="GY20" s="64"/>
      <c r="GZ20" s="64"/>
      <c r="HA20" s="64"/>
      <c r="HB20" s="64"/>
      <c r="HC20" s="64"/>
      <c r="HD20" s="63"/>
      <c r="HE20" s="63"/>
      <c r="HF20" s="63"/>
      <c r="HG20" s="63"/>
      <c r="HH20" s="63"/>
      <c r="HI20" s="63"/>
      <c r="HJ20" s="63"/>
      <c r="HK20" s="65" t="n">
        <f aca="false">COUNTIF(B20:HJ20,"A")</f>
        <v>0</v>
      </c>
      <c r="HL20" s="66" t="n">
        <f aca="false">COUNTIF(B20:HJ20,"O")</f>
        <v>0</v>
      </c>
      <c r="HM20" s="67" t="n">
        <f aca="false">COUNTIF(B20:HJ20,"D")</f>
        <v>0</v>
      </c>
      <c r="HN20" s="68" t="n">
        <f aca="false">COUNTIF(B20:HJ20,"N/A")</f>
        <v>0</v>
      </c>
      <c r="HO20" s="69" t="n">
        <f aca="false">IFERROR((HK20+HL20)/(HK20+HL20+HM20),0)</f>
        <v>0</v>
      </c>
    </row>
    <row r="21" customFormat="false" ht="15.75" hidden="false" customHeight="true" outlineLevel="0" collapsed="false">
      <c r="A21" s="62" t="n">
        <f aca="false">Roster!B21</f>
        <v>0</v>
      </c>
      <c r="B21" s="63"/>
      <c r="C21" s="63"/>
      <c r="D21" s="63"/>
      <c r="E21" s="63"/>
      <c r="F21" s="63"/>
      <c r="G21" s="63"/>
      <c r="H21" s="63"/>
      <c r="I21" s="64"/>
      <c r="J21" s="64"/>
      <c r="K21" s="64"/>
      <c r="L21" s="64"/>
      <c r="M21" s="64"/>
      <c r="N21" s="64"/>
      <c r="O21" s="64"/>
      <c r="P21" s="63"/>
      <c r="Q21" s="63"/>
      <c r="R21" s="63"/>
      <c r="S21" s="63"/>
      <c r="T21" s="63"/>
      <c r="U21" s="63"/>
      <c r="V21" s="63"/>
      <c r="W21" s="64"/>
      <c r="X21" s="64"/>
      <c r="Y21" s="64"/>
      <c r="Z21" s="64"/>
      <c r="AA21" s="64"/>
      <c r="AB21" s="64"/>
      <c r="AC21" s="64"/>
      <c r="AD21" s="63"/>
      <c r="AE21" s="63"/>
      <c r="AF21" s="63"/>
      <c r="AG21" s="63"/>
      <c r="AH21" s="63"/>
      <c r="AI21" s="63"/>
      <c r="AJ21" s="63"/>
      <c r="AK21" s="64"/>
      <c r="AL21" s="64"/>
      <c r="AM21" s="64"/>
      <c r="AN21" s="64"/>
      <c r="AO21" s="64"/>
      <c r="AP21" s="64"/>
      <c r="AQ21" s="64"/>
      <c r="AR21" s="63"/>
      <c r="AS21" s="63"/>
      <c r="AT21" s="63"/>
      <c r="AU21" s="63"/>
      <c r="AV21" s="63"/>
      <c r="AW21" s="63"/>
      <c r="AX21" s="63"/>
      <c r="AY21" s="64"/>
      <c r="AZ21" s="64"/>
      <c r="BA21" s="64"/>
      <c r="BB21" s="64"/>
      <c r="BC21" s="64"/>
      <c r="BD21" s="64"/>
      <c r="BE21" s="64"/>
      <c r="BF21" s="63"/>
      <c r="BG21" s="63"/>
      <c r="BH21" s="63"/>
      <c r="BI21" s="63"/>
      <c r="BJ21" s="63"/>
      <c r="BK21" s="63"/>
      <c r="BL21" s="63"/>
      <c r="BM21" s="64"/>
      <c r="BN21" s="64"/>
      <c r="BO21" s="64"/>
      <c r="BP21" s="64"/>
      <c r="BQ21" s="64"/>
      <c r="BR21" s="64"/>
      <c r="BS21" s="64"/>
      <c r="BT21" s="63"/>
      <c r="BU21" s="63"/>
      <c r="BV21" s="63"/>
      <c r="BW21" s="63"/>
      <c r="BX21" s="63"/>
      <c r="BY21" s="63"/>
      <c r="BZ21" s="63"/>
      <c r="CA21" s="64"/>
      <c r="CB21" s="64"/>
      <c r="CC21" s="64"/>
      <c r="CD21" s="64"/>
      <c r="CE21" s="64"/>
      <c r="CF21" s="64"/>
      <c r="CG21" s="64"/>
      <c r="CH21" s="63"/>
      <c r="CI21" s="63"/>
      <c r="CJ21" s="63"/>
      <c r="CK21" s="63"/>
      <c r="CL21" s="63"/>
      <c r="CM21" s="63"/>
      <c r="CN21" s="63"/>
      <c r="CO21" s="64"/>
      <c r="CP21" s="64"/>
      <c r="CQ21" s="64"/>
      <c r="CR21" s="64"/>
      <c r="CS21" s="64"/>
      <c r="CT21" s="64"/>
      <c r="CU21" s="64"/>
      <c r="CV21" s="63"/>
      <c r="CW21" s="63"/>
      <c r="CX21" s="63"/>
      <c r="CY21" s="63"/>
      <c r="CZ21" s="63"/>
      <c r="DA21" s="63"/>
      <c r="DB21" s="63"/>
      <c r="DC21" s="64"/>
      <c r="DD21" s="64"/>
      <c r="DE21" s="64"/>
      <c r="DF21" s="64"/>
      <c r="DG21" s="64"/>
      <c r="DH21" s="64"/>
      <c r="DI21" s="64"/>
      <c r="DJ21" s="63"/>
      <c r="DK21" s="63"/>
      <c r="DL21" s="63"/>
      <c r="DM21" s="63"/>
      <c r="DN21" s="63"/>
      <c r="DO21" s="63"/>
      <c r="DP21" s="63"/>
      <c r="DQ21" s="64"/>
      <c r="DR21" s="64"/>
      <c r="DS21" s="64"/>
      <c r="DT21" s="64"/>
      <c r="DU21" s="64"/>
      <c r="DV21" s="64"/>
      <c r="DW21" s="64"/>
      <c r="DX21" s="63"/>
      <c r="DY21" s="63"/>
      <c r="DZ21" s="63"/>
      <c r="EA21" s="63"/>
      <c r="EB21" s="63"/>
      <c r="EC21" s="63"/>
      <c r="ED21" s="63"/>
      <c r="EE21" s="64"/>
      <c r="EF21" s="64"/>
      <c r="EG21" s="64"/>
      <c r="EH21" s="64"/>
      <c r="EI21" s="64"/>
      <c r="EJ21" s="64"/>
      <c r="EK21" s="64"/>
      <c r="EL21" s="63"/>
      <c r="EM21" s="63"/>
      <c r="EN21" s="63"/>
      <c r="EO21" s="63"/>
      <c r="EP21" s="63"/>
      <c r="EQ21" s="63"/>
      <c r="ER21" s="63"/>
      <c r="ES21" s="64"/>
      <c r="ET21" s="64"/>
      <c r="EU21" s="64"/>
      <c r="EV21" s="64"/>
      <c r="EW21" s="64"/>
      <c r="EX21" s="64"/>
      <c r="EY21" s="64"/>
      <c r="EZ21" s="63"/>
      <c r="FA21" s="63"/>
      <c r="FB21" s="63"/>
      <c r="FC21" s="63"/>
      <c r="FD21" s="63"/>
      <c r="FE21" s="63"/>
      <c r="FF21" s="63"/>
      <c r="FG21" s="64"/>
      <c r="FH21" s="64"/>
      <c r="FI21" s="64"/>
      <c r="FJ21" s="64"/>
      <c r="FK21" s="64"/>
      <c r="FL21" s="64"/>
      <c r="FM21" s="64"/>
      <c r="FN21" s="63"/>
      <c r="FO21" s="63"/>
      <c r="FP21" s="63"/>
      <c r="FQ21" s="63"/>
      <c r="FR21" s="63"/>
      <c r="FS21" s="63"/>
      <c r="FT21" s="63"/>
      <c r="FU21" s="64"/>
      <c r="FV21" s="64"/>
      <c r="FW21" s="64"/>
      <c r="FX21" s="64"/>
      <c r="FY21" s="64"/>
      <c r="FZ21" s="64"/>
      <c r="GA21" s="64"/>
      <c r="GB21" s="63"/>
      <c r="GC21" s="63"/>
      <c r="GD21" s="63"/>
      <c r="GE21" s="63"/>
      <c r="GF21" s="63"/>
      <c r="GG21" s="63"/>
      <c r="GH21" s="63"/>
      <c r="GI21" s="64"/>
      <c r="GJ21" s="64"/>
      <c r="GK21" s="64"/>
      <c r="GL21" s="64"/>
      <c r="GM21" s="64"/>
      <c r="GN21" s="64"/>
      <c r="GO21" s="64"/>
      <c r="GP21" s="63"/>
      <c r="GQ21" s="63"/>
      <c r="GR21" s="63"/>
      <c r="GS21" s="63"/>
      <c r="GT21" s="63"/>
      <c r="GU21" s="63"/>
      <c r="GV21" s="63"/>
      <c r="GW21" s="64"/>
      <c r="GX21" s="64"/>
      <c r="GY21" s="64"/>
      <c r="GZ21" s="64"/>
      <c r="HA21" s="64"/>
      <c r="HB21" s="64"/>
      <c r="HC21" s="64"/>
      <c r="HD21" s="63"/>
      <c r="HE21" s="63"/>
      <c r="HF21" s="63"/>
      <c r="HG21" s="63"/>
      <c r="HH21" s="63"/>
      <c r="HI21" s="63"/>
      <c r="HJ21" s="63"/>
      <c r="HK21" s="65" t="n">
        <f aca="false">COUNTIF(B21:HJ21,"A")</f>
        <v>0</v>
      </c>
      <c r="HL21" s="66" t="n">
        <f aca="false">COUNTIF(B21:HJ21,"O")</f>
        <v>0</v>
      </c>
      <c r="HM21" s="67" t="n">
        <f aca="false">COUNTIF(B21:HJ21,"D")</f>
        <v>0</v>
      </c>
      <c r="HN21" s="68" t="n">
        <f aca="false">COUNTIF(B21:HJ21,"N/A")</f>
        <v>0</v>
      </c>
      <c r="HO21" s="69" t="n">
        <f aca="false">IFERROR((HK21+HL21)/(HK21+HL21+HM21),0)</f>
        <v>0</v>
      </c>
    </row>
    <row r="22" customFormat="false" ht="15.75" hidden="false" customHeight="true" outlineLevel="0" collapsed="false">
      <c r="A22" s="62" t="n">
        <f aca="false">Roster!B22</f>
        <v>0</v>
      </c>
      <c r="B22" s="63"/>
      <c r="C22" s="63"/>
      <c r="D22" s="63"/>
      <c r="E22" s="63"/>
      <c r="F22" s="63"/>
      <c r="G22" s="63"/>
      <c r="H22" s="63"/>
      <c r="I22" s="64"/>
      <c r="J22" s="64"/>
      <c r="K22" s="64"/>
      <c r="L22" s="64"/>
      <c r="M22" s="64"/>
      <c r="N22" s="64"/>
      <c r="O22" s="64"/>
      <c r="P22" s="63"/>
      <c r="Q22" s="63"/>
      <c r="R22" s="63"/>
      <c r="S22" s="63"/>
      <c r="T22" s="63"/>
      <c r="U22" s="63"/>
      <c r="V22" s="63"/>
      <c r="W22" s="64"/>
      <c r="X22" s="64"/>
      <c r="Y22" s="64"/>
      <c r="Z22" s="64"/>
      <c r="AA22" s="64"/>
      <c r="AB22" s="64"/>
      <c r="AC22" s="64"/>
      <c r="AD22" s="63"/>
      <c r="AE22" s="63"/>
      <c r="AF22" s="63"/>
      <c r="AG22" s="63"/>
      <c r="AH22" s="63"/>
      <c r="AI22" s="63"/>
      <c r="AJ22" s="63"/>
      <c r="AK22" s="64"/>
      <c r="AL22" s="64"/>
      <c r="AM22" s="64"/>
      <c r="AN22" s="64"/>
      <c r="AO22" s="64"/>
      <c r="AP22" s="64"/>
      <c r="AQ22" s="64"/>
      <c r="AR22" s="63"/>
      <c r="AS22" s="63"/>
      <c r="AT22" s="63"/>
      <c r="AU22" s="63"/>
      <c r="AV22" s="63"/>
      <c r="AW22" s="63"/>
      <c r="AX22" s="63"/>
      <c r="AY22" s="64"/>
      <c r="AZ22" s="64"/>
      <c r="BA22" s="64"/>
      <c r="BB22" s="64"/>
      <c r="BC22" s="64"/>
      <c r="BD22" s="64"/>
      <c r="BE22" s="64"/>
      <c r="BF22" s="63"/>
      <c r="BG22" s="63"/>
      <c r="BH22" s="63"/>
      <c r="BI22" s="63"/>
      <c r="BJ22" s="63"/>
      <c r="BK22" s="63"/>
      <c r="BL22" s="63"/>
      <c r="BM22" s="64"/>
      <c r="BN22" s="64"/>
      <c r="BO22" s="64"/>
      <c r="BP22" s="64"/>
      <c r="BQ22" s="64"/>
      <c r="BR22" s="64"/>
      <c r="BS22" s="64"/>
      <c r="BT22" s="63"/>
      <c r="BU22" s="63"/>
      <c r="BV22" s="63"/>
      <c r="BW22" s="63"/>
      <c r="BX22" s="63"/>
      <c r="BY22" s="63"/>
      <c r="BZ22" s="63"/>
      <c r="CA22" s="64"/>
      <c r="CB22" s="64"/>
      <c r="CC22" s="64"/>
      <c r="CD22" s="64"/>
      <c r="CE22" s="64"/>
      <c r="CF22" s="64"/>
      <c r="CG22" s="64"/>
      <c r="CH22" s="63"/>
      <c r="CI22" s="63"/>
      <c r="CJ22" s="63"/>
      <c r="CK22" s="63"/>
      <c r="CL22" s="63"/>
      <c r="CM22" s="63"/>
      <c r="CN22" s="63"/>
      <c r="CO22" s="64"/>
      <c r="CP22" s="64"/>
      <c r="CQ22" s="64"/>
      <c r="CR22" s="64"/>
      <c r="CS22" s="64"/>
      <c r="CT22" s="64"/>
      <c r="CU22" s="64"/>
      <c r="CV22" s="63"/>
      <c r="CW22" s="63"/>
      <c r="CX22" s="63"/>
      <c r="CY22" s="63"/>
      <c r="CZ22" s="63"/>
      <c r="DA22" s="63"/>
      <c r="DB22" s="63"/>
      <c r="DC22" s="64"/>
      <c r="DD22" s="64"/>
      <c r="DE22" s="64"/>
      <c r="DF22" s="64"/>
      <c r="DG22" s="64"/>
      <c r="DH22" s="64"/>
      <c r="DI22" s="64"/>
      <c r="DJ22" s="63"/>
      <c r="DK22" s="63"/>
      <c r="DL22" s="63"/>
      <c r="DM22" s="63"/>
      <c r="DN22" s="63"/>
      <c r="DO22" s="63"/>
      <c r="DP22" s="63"/>
      <c r="DQ22" s="64"/>
      <c r="DR22" s="64"/>
      <c r="DS22" s="64"/>
      <c r="DT22" s="64"/>
      <c r="DU22" s="64"/>
      <c r="DV22" s="64"/>
      <c r="DW22" s="64"/>
      <c r="DX22" s="63"/>
      <c r="DY22" s="63"/>
      <c r="DZ22" s="63"/>
      <c r="EA22" s="63"/>
      <c r="EB22" s="63"/>
      <c r="EC22" s="63"/>
      <c r="ED22" s="63"/>
      <c r="EE22" s="64"/>
      <c r="EF22" s="64"/>
      <c r="EG22" s="64"/>
      <c r="EH22" s="64"/>
      <c r="EI22" s="64"/>
      <c r="EJ22" s="64"/>
      <c r="EK22" s="64"/>
      <c r="EL22" s="63"/>
      <c r="EM22" s="63"/>
      <c r="EN22" s="63"/>
      <c r="EO22" s="63"/>
      <c r="EP22" s="63"/>
      <c r="EQ22" s="63"/>
      <c r="ER22" s="63"/>
      <c r="ES22" s="64"/>
      <c r="ET22" s="64"/>
      <c r="EU22" s="64"/>
      <c r="EV22" s="64"/>
      <c r="EW22" s="64"/>
      <c r="EX22" s="64"/>
      <c r="EY22" s="64"/>
      <c r="EZ22" s="63"/>
      <c r="FA22" s="63"/>
      <c r="FB22" s="63"/>
      <c r="FC22" s="63"/>
      <c r="FD22" s="63"/>
      <c r="FE22" s="63"/>
      <c r="FF22" s="63"/>
      <c r="FG22" s="64"/>
      <c r="FH22" s="64"/>
      <c r="FI22" s="64"/>
      <c r="FJ22" s="64"/>
      <c r="FK22" s="64"/>
      <c r="FL22" s="64"/>
      <c r="FM22" s="64"/>
      <c r="FN22" s="63"/>
      <c r="FO22" s="63"/>
      <c r="FP22" s="63"/>
      <c r="FQ22" s="63"/>
      <c r="FR22" s="63"/>
      <c r="FS22" s="63"/>
      <c r="FT22" s="63"/>
      <c r="FU22" s="64"/>
      <c r="FV22" s="64"/>
      <c r="FW22" s="64"/>
      <c r="FX22" s="64"/>
      <c r="FY22" s="64"/>
      <c r="FZ22" s="64"/>
      <c r="GA22" s="64"/>
      <c r="GB22" s="63"/>
      <c r="GC22" s="63"/>
      <c r="GD22" s="63"/>
      <c r="GE22" s="63"/>
      <c r="GF22" s="63"/>
      <c r="GG22" s="63"/>
      <c r="GH22" s="63"/>
      <c r="GI22" s="64"/>
      <c r="GJ22" s="64"/>
      <c r="GK22" s="64"/>
      <c r="GL22" s="64"/>
      <c r="GM22" s="64"/>
      <c r="GN22" s="64"/>
      <c r="GO22" s="64"/>
      <c r="GP22" s="63"/>
      <c r="GQ22" s="63"/>
      <c r="GR22" s="63"/>
      <c r="GS22" s="63"/>
      <c r="GT22" s="63"/>
      <c r="GU22" s="63"/>
      <c r="GV22" s="63"/>
      <c r="GW22" s="64"/>
      <c r="GX22" s="64"/>
      <c r="GY22" s="64"/>
      <c r="GZ22" s="64"/>
      <c r="HA22" s="64"/>
      <c r="HB22" s="64"/>
      <c r="HC22" s="64"/>
      <c r="HD22" s="63"/>
      <c r="HE22" s="63"/>
      <c r="HF22" s="63"/>
      <c r="HG22" s="63"/>
      <c r="HH22" s="63"/>
      <c r="HI22" s="63"/>
      <c r="HJ22" s="63"/>
      <c r="HK22" s="65" t="n">
        <f aca="false">COUNTIF(B22:HJ22,"A")</f>
        <v>0</v>
      </c>
      <c r="HL22" s="66" t="n">
        <f aca="false">COUNTIF(B22:HJ22,"O")</f>
        <v>0</v>
      </c>
      <c r="HM22" s="67" t="n">
        <f aca="false">COUNTIF(B22:HJ22,"D")</f>
        <v>0</v>
      </c>
      <c r="HN22" s="68" t="n">
        <f aca="false">COUNTIF(B22:HJ22,"N/A")</f>
        <v>0</v>
      </c>
      <c r="HO22" s="69" t="n">
        <f aca="false">IFERROR((HK22+HL22)/(HK22+HL22+HM22),0)</f>
        <v>0</v>
      </c>
    </row>
    <row r="23" customFormat="false" ht="15.75" hidden="false" customHeight="true" outlineLevel="0" collapsed="false">
      <c r="A23" s="62" t="n">
        <f aca="false">Roster!B23</f>
        <v>0</v>
      </c>
      <c r="B23" s="63"/>
      <c r="C23" s="63"/>
      <c r="D23" s="63"/>
      <c r="E23" s="63"/>
      <c r="F23" s="63"/>
      <c r="G23" s="63"/>
      <c r="H23" s="63"/>
      <c r="I23" s="64"/>
      <c r="J23" s="64"/>
      <c r="K23" s="64"/>
      <c r="L23" s="64"/>
      <c r="M23" s="64"/>
      <c r="N23" s="64"/>
      <c r="O23" s="64"/>
      <c r="P23" s="63"/>
      <c r="Q23" s="63"/>
      <c r="R23" s="63"/>
      <c r="S23" s="63"/>
      <c r="T23" s="63"/>
      <c r="U23" s="63"/>
      <c r="V23" s="63"/>
      <c r="W23" s="64"/>
      <c r="X23" s="64"/>
      <c r="Y23" s="64"/>
      <c r="Z23" s="64"/>
      <c r="AA23" s="64"/>
      <c r="AB23" s="64"/>
      <c r="AC23" s="64"/>
      <c r="AD23" s="63"/>
      <c r="AE23" s="63"/>
      <c r="AF23" s="63"/>
      <c r="AG23" s="63"/>
      <c r="AH23" s="63"/>
      <c r="AI23" s="63"/>
      <c r="AJ23" s="63"/>
      <c r="AK23" s="64"/>
      <c r="AL23" s="64"/>
      <c r="AM23" s="64"/>
      <c r="AN23" s="64"/>
      <c r="AO23" s="64"/>
      <c r="AP23" s="64"/>
      <c r="AQ23" s="64"/>
      <c r="AR23" s="63"/>
      <c r="AS23" s="63"/>
      <c r="AT23" s="63"/>
      <c r="AU23" s="63"/>
      <c r="AV23" s="63"/>
      <c r="AW23" s="63"/>
      <c r="AX23" s="63"/>
      <c r="AY23" s="64"/>
      <c r="AZ23" s="64"/>
      <c r="BA23" s="64"/>
      <c r="BB23" s="64"/>
      <c r="BC23" s="64"/>
      <c r="BD23" s="64"/>
      <c r="BE23" s="64"/>
      <c r="BF23" s="63"/>
      <c r="BG23" s="63"/>
      <c r="BH23" s="63"/>
      <c r="BI23" s="63"/>
      <c r="BJ23" s="63"/>
      <c r="BK23" s="63"/>
      <c r="BL23" s="63"/>
      <c r="BM23" s="64"/>
      <c r="BN23" s="64"/>
      <c r="BO23" s="64"/>
      <c r="BP23" s="64"/>
      <c r="BQ23" s="64"/>
      <c r="BR23" s="64"/>
      <c r="BS23" s="64"/>
      <c r="BT23" s="63"/>
      <c r="BU23" s="63"/>
      <c r="BV23" s="63"/>
      <c r="BW23" s="63"/>
      <c r="BX23" s="63"/>
      <c r="BY23" s="63"/>
      <c r="BZ23" s="63"/>
      <c r="CA23" s="64"/>
      <c r="CB23" s="64"/>
      <c r="CC23" s="64"/>
      <c r="CD23" s="64"/>
      <c r="CE23" s="64"/>
      <c r="CF23" s="64"/>
      <c r="CG23" s="64"/>
      <c r="CH23" s="63"/>
      <c r="CI23" s="63"/>
      <c r="CJ23" s="63"/>
      <c r="CK23" s="63"/>
      <c r="CL23" s="63"/>
      <c r="CM23" s="63"/>
      <c r="CN23" s="63"/>
      <c r="CO23" s="64"/>
      <c r="CP23" s="64"/>
      <c r="CQ23" s="64"/>
      <c r="CR23" s="64"/>
      <c r="CS23" s="64"/>
      <c r="CT23" s="64"/>
      <c r="CU23" s="64"/>
      <c r="CV23" s="63"/>
      <c r="CW23" s="63"/>
      <c r="CX23" s="63"/>
      <c r="CY23" s="63"/>
      <c r="CZ23" s="63"/>
      <c r="DA23" s="63"/>
      <c r="DB23" s="63"/>
      <c r="DC23" s="64"/>
      <c r="DD23" s="64"/>
      <c r="DE23" s="64"/>
      <c r="DF23" s="64"/>
      <c r="DG23" s="64"/>
      <c r="DH23" s="64"/>
      <c r="DI23" s="64"/>
      <c r="DJ23" s="63"/>
      <c r="DK23" s="63"/>
      <c r="DL23" s="63"/>
      <c r="DM23" s="63"/>
      <c r="DN23" s="63"/>
      <c r="DO23" s="63"/>
      <c r="DP23" s="63"/>
      <c r="DQ23" s="64"/>
      <c r="DR23" s="64"/>
      <c r="DS23" s="64"/>
      <c r="DT23" s="64"/>
      <c r="DU23" s="64"/>
      <c r="DV23" s="64"/>
      <c r="DW23" s="64"/>
      <c r="DX23" s="63"/>
      <c r="DY23" s="63"/>
      <c r="DZ23" s="63"/>
      <c r="EA23" s="63"/>
      <c r="EB23" s="63"/>
      <c r="EC23" s="63"/>
      <c r="ED23" s="63"/>
      <c r="EE23" s="64"/>
      <c r="EF23" s="64"/>
      <c r="EG23" s="64"/>
      <c r="EH23" s="64"/>
      <c r="EI23" s="64"/>
      <c r="EJ23" s="64"/>
      <c r="EK23" s="64"/>
      <c r="EL23" s="63"/>
      <c r="EM23" s="63"/>
      <c r="EN23" s="63"/>
      <c r="EO23" s="63"/>
      <c r="EP23" s="63"/>
      <c r="EQ23" s="63"/>
      <c r="ER23" s="63"/>
      <c r="ES23" s="64"/>
      <c r="ET23" s="64"/>
      <c r="EU23" s="64"/>
      <c r="EV23" s="64"/>
      <c r="EW23" s="64"/>
      <c r="EX23" s="64"/>
      <c r="EY23" s="64"/>
      <c r="EZ23" s="63"/>
      <c r="FA23" s="63"/>
      <c r="FB23" s="63"/>
      <c r="FC23" s="63"/>
      <c r="FD23" s="63"/>
      <c r="FE23" s="63"/>
      <c r="FF23" s="63"/>
      <c r="FG23" s="64"/>
      <c r="FH23" s="64"/>
      <c r="FI23" s="64"/>
      <c r="FJ23" s="64"/>
      <c r="FK23" s="64"/>
      <c r="FL23" s="64"/>
      <c r="FM23" s="64"/>
      <c r="FN23" s="63"/>
      <c r="FO23" s="63"/>
      <c r="FP23" s="63"/>
      <c r="FQ23" s="63"/>
      <c r="FR23" s="63"/>
      <c r="FS23" s="63"/>
      <c r="FT23" s="63"/>
      <c r="FU23" s="64"/>
      <c r="FV23" s="64"/>
      <c r="FW23" s="64"/>
      <c r="FX23" s="64"/>
      <c r="FY23" s="64"/>
      <c r="FZ23" s="64"/>
      <c r="GA23" s="64"/>
      <c r="GB23" s="63"/>
      <c r="GC23" s="63"/>
      <c r="GD23" s="63"/>
      <c r="GE23" s="63"/>
      <c r="GF23" s="63"/>
      <c r="GG23" s="63"/>
      <c r="GH23" s="63"/>
      <c r="GI23" s="64"/>
      <c r="GJ23" s="64"/>
      <c r="GK23" s="64"/>
      <c r="GL23" s="64"/>
      <c r="GM23" s="64"/>
      <c r="GN23" s="64"/>
      <c r="GO23" s="64"/>
      <c r="GP23" s="63"/>
      <c r="GQ23" s="63"/>
      <c r="GR23" s="63"/>
      <c r="GS23" s="63"/>
      <c r="GT23" s="63"/>
      <c r="GU23" s="63"/>
      <c r="GV23" s="63"/>
      <c r="GW23" s="64"/>
      <c r="GX23" s="64"/>
      <c r="GY23" s="64"/>
      <c r="GZ23" s="64"/>
      <c r="HA23" s="64"/>
      <c r="HB23" s="64"/>
      <c r="HC23" s="64"/>
      <c r="HD23" s="63"/>
      <c r="HE23" s="63"/>
      <c r="HF23" s="63"/>
      <c r="HG23" s="63"/>
      <c r="HH23" s="63"/>
      <c r="HI23" s="63"/>
      <c r="HJ23" s="63"/>
      <c r="HK23" s="65" t="n">
        <f aca="false">COUNTIF(B23:HJ23,"A")</f>
        <v>0</v>
      </c>
      <c r="HL23" s="66" t="n">
        <f aca="false">COUNTIF(B23:HJ23,"O")</f>
        <v>0</v>
      </c>
      <c r="HM23" s="67" t="n">
        <f aca="false">COUNTIF(B23:HJ23,"D")</f>
        <v>0</v>
      </c>
      <c r="HN23" s="68" t="n">
        <f aca="false">COUNTIF(B23:HJ23,"N/A")</f>
        <v>0</v>
      </c>
      <c r="HO23" s="69" t="n">
        <f aca="false">IFERROR((HK23+HL23)/(HK23+HL23+HM23),0)</f>
        <v>0</v>
      </c>
    </row>
    <row r="24" customFormat="false" ht="15.75" hidden="false" customHeight="true" outlineLevel="0" collapsed="false">
      <c r="A24" s="62" t="n">
        <f aca="false">Roster!B24</f>
        <v>0</v>
      </c>
      <c r="B24" s="63"/>
      <c r="C24" s="63"/>
      <c r="D24" s="63"/>
      <c r="E24" s="63"/>
      <c r="F24" s="63"/>
      <c r="G24" s="63"/>
      <c r="H24" s="63"/>
      <c r="I24" s="64"/>
      <c r="J24" s="64"/>
      <c r="K24" s="64"/>
      <c r="L24" s="64"/>
      <c r="M24" s="64"/>
      <c r="N24" s="64"/>
      <c r="O24" s="64"/>
      <c r="P24" s="63"/>
      <c r="Q24" s="63"/>
      <c r="R24" s="63"/>
      <c r="S24" s="63"/>
      <c r="T24" s="63"/>
      <c r="U24" s="63"/>
      <c r="V24" s="63"/>
      <c r="W24" s="64"/>
      <c r="X24" s="64"/>
      <c r="Y24" s="64"/>
      <c r="Z24" s="64"/>
      <c r="AA24" s="64"/>
      <c r="AB24" s="64"/>
      <c r="AC24" s="64"/>
      <c r="AD24" s="63"/>
      <c r="AE24" s="63"/>
      <c r="AF24" s="63"/>
      <c r="AG24" s="63"/>
      <c r="AH24" s="63"/>
      <c r="AI24" s="63"/>
      <c r="AJ24" s="63"/>
      <c r="AK24" s="64"/>
      <c r="AL24" s="64"/>
      <c r="AM24" s="64"/>
      <c r="AN24" s="64"/>
      <c r="AO24" s="64"/>
      <c r="AP24" s="64"/>
      <c r="AQ24" s="64"/>
      <c r="AR24" s="63"/>
      <c r="AS24" s="63"/>
      <c r="AT24" s="63"/>
      <c r="AU24" s="63"/>
      <c r="AV24" s="63"/>
      <c r="AW24" s="63"/>
      <c r="AX24" s="63"/>
      <c r="AY24" s="64"/>
      <c r="AZ24" s="64"/>
      <c r="BA24" s="64"/>
      <c r="BB24" s="64"/>
      <c r="BC24" s="64"/>
      <c r="BD24" s="64"/>
      <c r="BE24" s="64"/>
      <c r="BF24" s="63"/>
      <c r="BG24" s="63"/>
      <c r="BH24" s="63"/>
      <c r="BI24" s="63"/>
      <c r="BJ24" s="63"/>
      <c r="BK24" s="63"/>
      <c r="BL24" s="63"/>
      <c r="BM24" s="64"/>
      <c r="BN24" s="64"/>
      <c r="BO24" s="64"/>
      <c r="BP24" s="64"/>
      <c r="BQ24" s="64"/>
      <c r="BR24" s="64"/>
      <c r="BS24" s="64"/>
      <c r="BT24" s="63"/>
      <c r="BU24" s="63"/>
      <c r="BV24" s="63"/>
      <c r="BW24" s="63"/>
      <c r="BX24" s="63"/>
      <c r="BY24" s="63"/>
      <c r="BZ24" s="63"/>
      <c r="CA24" s="64"/>
      <c r="CB24" s="64"/>
      <c r="CC24" s="64"/>
      <c r="CD24" s="64"/>
      <c r="CE24" s="64"/>
      <c r="CF24" s="64"/>
      <c r="CG24" s="64"/>
      <c r="CH24" s="63"/>
      <c r="CI24" s="63"/>
      <c r="CJ24" s="63"/>
      <c r="CK24" s="63"/>
      <c r="CL24" s="63"/>
      <c r="CM24" s="63"/>
      <c r="CN24" s="63"/>
      <c r="CO24" s="64"/>
      <c r="CP24" s="64"/>
      <c r="CQ24" s="64"/>
      <c r="CR24" s="64"/>
      <c r="CS24" s="64"/>
      <c r="CT24" s="64"/>
      <c r="CU24" s="64"/>
      <c r="CV24" s="63"/>
      <c r="CW24" s="63"/>
      <c r="CX24" s="63"/>
      <c r="CY24" s="63"/>
      <c r="CZ24" s="63"/>
      <c r="DA24" s="63"/>
      <c r="DB24" s="63"/>
      <c r="DC24" s="64"/>
      <c r="DD24" s="64"/>
      <c r="DE24" s="64"/>
      <c r="DF24" s="64"/>
      <c r="DG24" s="64"/>
      <c r="DH24" s="64"/>
      <c r="DI24" s="64"/>
      <c r="DJ24" s="63"/>
      <c r="DK24" s="63"/>
      <c r="DL24" s="63"/>
      <c r="DM24" s="63"/>
      <c r="DN24" s="63"/>
      <c r="DO24" s="63"/>
      <c r="DP24" s="63"/>
      <c r="DQ24" s="64"/>
      <c r="DR24" s="64"/>
      <c r="DS24" s="64"/>
      <c r="DT24" s="64"/>
      <c r="DU24" s="64"/>
      <c r="DV24" s="64"/>
      <c r="DW24" s="64"/>
      <c r="DX24" s="63"/>
      <c r="DY24" s="63"/>
      <c r="DZ24" s="63"/>
      <c r="EA24" s="63"/>
      <c r="EB24" s="63"/>
      <c r="EC24" s="63"/>
      <c r="ED24" s="63"/>
      <c r="EE24" s="64"/>
      <c r="EF24" s="64"/>
      <c r="EG24" s="64"/>
      <c r="EH24" s="64"/>
      <c r="EI24" s="64"/>
      <c r="EJ24" s="64"/>
      <c r="EK24" s="64"/>
      <c r="EL24" s="63"/>
      <c r="EM24" s="63"/>
      <c r="EN24" s="63"/>
      <c r="EO24" s="63"/>
      <c r="EP24" s="63"/>
      <c r="EQ24" s="63"/>
      <c r="ER24" s="63"/>
      <c r="ES24" s="64"/>
      <c r="ET24" s="64"/>
      <c r="EU24" s="64"/>
      <c r="EV24" s="64"/>
      <c r="EW24" s="64"/>
      <c r="EX24" s="64"/>
      <c r="EY24" s="64"/>
      <c r="EZ24" s="63"/>
      <c r="FA24" s="63"/>
      <c r="FB24" s="63"/>
      <c r="FC24" s="63"/>
      <c r="FD24" s="63"/>
      <c r="FE24" s="63"/>
      <c r="FF24" s="63"/>
      <c r="FG24" s="64"/>
      <c r="FH24" s="64"/>
      <c r="FI24" s="64"/>
      <c r="FJ24" s="64"/>
      <c r="FK24" s="64"/>
      <c r="FL24" s="64"/>
      <c r="FM24" s="64"/>
      <c r="FN24" s="63"/>
      <c r="FO24" s="63"/>
      <c r="FP24" s="63"/>
      <c r="FQ24" s="63"/>
      <c r="FR24" s="63"/>
      <c r="FS24" s="63"/>
      <c r="FT24" s="63"/>
      <c r="FU24" s="64"/>
      <c r="FV24" s="64"/>
      <c r="FW24" s="64"/>
      <c r="FX24" s="64"/>
      <c r="FY24" s="64"/>
      <c r="FZ24" s="64"/>
      <c r="GA24" s="64"/>
      <c r="GB24" s="63"/>
      <c r="GC24" s="63"/>
      <c r="GD24" s="63"/>
      <c r="GE24" s="63"/>
      <c r="GF24" s="63"/>
      <c r="GG24" s="63"/>
      <c r="GH24" s="63"/>
      <c r="GI24" s="64"/>
      <c r="GJ24" s="64"/>
      <c r="GK24" s="64"/>
      <c r="GL24" s="64"/>
      <c r="GM24" s="64"/>
      <c r="GN24" s="64"/>
      <c r="GO24" s="64"/>
      <c r="GP24" s="63"/>
      <c r="GQ24" s="63"/>
      <c r="GR24" s="63"/>
      <c r="GS24" s="63"/>
      <c r="GT24" s="63"/>
      <c r="GU24" s="63"/>
      <c r="GV24" s="63"/>
      <c r="GW24" s="64"/>
      <c r="GX24" s="64"/>
      <c r="GY24" s="64"/>
      <c r="GZ24" s="64"/>
      <c r="HA24" s="64"/>
      <c r="HB24" s="64"/>
      <c r="HC24" s="64"/>
      <c r="HD24" s="63"/>
      <c r="HE24" s="63"/>
      <c r="HF24" s="63"/>
      <c r="HG24" s="63"/>
      <c r="HH24" s="63"/>
      <c r="HI24" s="63"/>
      <c r="HJ24" s="63"/>
      <c r="HK24" s="65" t="n">
        <f aca="false">COUNTIF(B24:HJ24,"A")</f>
        <v>0</v>
      </c>
      <c r="HL24" s="66" t="n">
        <f aca="false">COUNTIF(B24:HJ24,"O")</f>
        <v>0</v>
      </c>
      <c r="HM24" s="67" t="n">
        <f aca="false">COUNTIF(B24:HJ24,"D")</f>
        <v>0</v>
      </c>
      <c r="HN24" s="68" t="n">
        <f aca="false">COUNTIF(B24:HJ24,"N/A")</f>
        <v>0</v>
      </c>
      <c r="HO24" s="69" t="n">
        <f aca="false">IFERROR((HK24+HL24)/(HK24+HL24+HM24),0)</f>
        <v>0</v>
      </c>
    </row>
    <row r="25" customFormat="false" ht="15.75" hidden="false" customHeight="true" outlineLevel="0" collapsed="false">
      <c r="A25" s="62" t="n">
        <f aca="false">Roster!B25</f>
        <v>0</v>
      </c>
      <c r="B25" s="63"/>
      <c r="C25" s="63"/>
      <c r="D25" s="63"/>
      <c r="E25" s="63"/>
      <c r="F25" s="63"/>
      <c r="G25" s="63"/>
      <c r="H25" s="63"/>
      <c r="I25" s="64"/>
      <c r="J25" s="64"/>
      <c r="K25" s="64"/>
      <c r="L25" s="64"/>
      <c r="M25" s="64"/>
      <c r="N25" s="64"/>
      <c r="O25" s="64"/>
      <c r="P25" s="63"/>
      <c r="Q25" s="63"/>
      <c r="R25" s="63"/>
      <c r="S25" s="63"/>
      <c r="T25" s="63"/>
      <c r="U25" s="63"/>
      <c r="V25" s="63"/>
      <c r="W25" s="64"/>
      <c r="X25" s="64"/>
      <c r="Y25" s="64"/>
      <c r="Z25" s="64"/>
      <c r="AA25" s="64"/>
      <c r="AB25" s="64"/>
      <c r="AC25" s="64"/>
      <c r="AD25" s="63"/>
      <c r="AE25" s="63"/>
      <c r="AF25" s="63"/>
      <c r="AG25" s="63"/>
      <c r="AH25" s="63"/>
      <c r="AI25" s="63"/>
      <c r="AJ25" s="63"/>
      <c r="AK25" s="64"/>
      <c r="AL25" s="64"/>
      <c r="AM25" s="64"/>
      <c r="AN25" s="64"/>
      <c r="AO25" s="64"/>
      <c r="AP25" s="64"/>
      <c r="AQ25" s="64"/>
      <c r="AR25" s="63"/>
      <c r="AS25" s="63"/>
      <c r="AT25" s="63"/>
      <c r="AU25" s="63"/>
      <c r="AV25" s="63"/>
      <c r="AW25" s="63"/>
      <c r="AX25" s="63"/>
      <c r="AY25" s="64"/>
      <c r="AZ25" s="64"/>
      <c r="BA25" s="64"/>
      <c r="BB25" s="64"/>
      <c r="BC25" s="64"/>
      <c r="BD25" s="64"/>
      <c r="BE25" s="64"/>
      <c r="BF25" s="63"/>
      <c r="BG25" s="63"/>
      <c r="BH25" s="63"/>
      <c r="BI25" s="63"/>
      <c r="BJ25" s="63"/>
      <c r="BK25" s="63"/>
      <c r="BL25" s="63"/>
      <c r="BM25" s="64"/>
      <c r="BN25" s="64"/>
      <c r="BO25" s="64"/>
      <c r="BP25" s="64"/>
      <c r="BQ25" s="64"/>
      <c r="BR25" s="64"/>
      <c r="BS25" s="64"/>
      <c r="BT25" s="63"/>
      <c r="BU25" s="63"/>
      <c r="BV25" s="63"/>
      <c r="BW25" s="63"/>
      <c r="BX25" s="63"/>
      <c r="BY25" s="63"/>
      <c r="BZ25" s="63"/>
      <c r="CA25" s="64"/>
      <c r="CB25" s="64"/>
      <c r="CC25" s="64"/>
      <c r="CD25" s="64"/>
      <c r="CE25" s="64"/>
      <c r="CF25" s="64"/>
      <c r="CG25" s="64"/>
      <c r="CH25" s="63"/>
      <c r="CI25" s="63"/>
      <c r="CJ25" s="63"/>
      <c r="CK25" s="63"/>
      <c r="CL25" s="63"/>
      <c r="CM25" s="63"/>
      <c r="CN25" s="63"/>
      <c r="CO25" s="64"/>
      <c r="CP25" s="64"/>
      <c r="CQ25" s="64"/>
      <c r="CR25" s="64"/>
      <c r="CS25" s="64"/>
      <c r="CT25" s="64"/>
      <c r="CU25" s="64"/>
      <c r="CV25" s="63"/>
      <c r="CW25" s="63"/>
      <c r="CX25" s="63"/>
      <c r="CY25" s="63"/>
      <c r="CZ25" s="63"/>
      <c r="DA25" s="63"/>
      <c r="DB25" s="63"/>
      <c r="DC25" s="64"/>
      <c r="DD25" s="64"/>
      <c r="DE25" s="64"/>
      <c r="DF25" s="64"/>
      <c r="DG25" s="64"/>
      <c r="DH25" s="64"/>
      <c r="DI25" s="64"/>
      <c r="DJ25" s="63"/>
      <c r="DK25" s="63"/>
      <c r="DL25" s="63"/>
      <c r="DM25" s="63"/>
      <c r="DN25" s="63"/>
      <c r="DO25" s="63"/>
      <c r="DP25" s="63"/>
      <c r="DQ25" s="64"/>
      <c r="DR25" s="64"/>
      <c r="DS25" s="64"/>
      <c r="DT25" s="64"/>
      <c r="DU25" s="64"/>
      <c r="DV25" s="64"/>
      <c r="DW25" s="64"/>
      <c r="DX25" s="63"/>
      <c r="DY25" s="63"/>
      <c r="DZ25" s="63"/>
      <c r="EA25" s="63"/>
      <c r="EB25" s="63"/>
      <c r="EC25" s="63"/>
      <c r="ED25" s="63"/>
      <c r="EE25" s="64"/>
      <c r="EF25" s="64"/>
      <c r="EG25" s="64"/>
      <c r="EH25" s="64"/>
      <c r="EI25" s="64"/>
      <c r="EJ25" s="64"/>
      <c r="EK25" s="64"/>
      <c r="EL25" s="63"/>
      <c r="EM25" s="63"/>
      <c r="EN25" s="63"/>
      <c r="EO25" s="63"/>
      <c r="EP25" s="63"/>
      <c r="EQ25" s="63"/>
      <c r="ER25" s="63"/>
      <c r="ES25" s="64"/>
      <c r="ET25" s="64"/>
      <c r="EU25" s="64"/>
      <c r="EV25" s="64"/>
      <c r="EW25" s="64"/>
      <c r="EX25" s="64"/>
      <c r="EY25" s="64"/>
      <c r="EZ25" s="63"/>
      <c r="FA25" s="63"/>
      <c r="FB25" s="63"/>
      <c r="FC25" s="63"/>
      <c r="FD25" s="63"/>
      <c r="FE25" s="63"/>
      <c r="FF25" s="63"/>
      <c r="FG25" s="64"/>
      <c r="FH25" s="64"/>
      <c r="FI25" s="64"/>
      <c r="FJ25" s="64"/>
      <c r="FK25" s="64"/>
      <c r="FL25" s="64"/>
      <c r="FM25" s="64"/>
      <c r="FN25" s="63"/>
      <c r="FO25" s="63"/>
      <c r="FP25" s="63"/>
      <c r="FQ25" s="63"/>
      <c r="FR25" s="63"/>
      <c r="FS25" s="63"/>
      <c r="FT25" s="63"/>
      <c r="FU25" s="64"/>
      <c r="FV25" s="64"/>
      <c r="FW25" s="64"/>
      <c r="FX25" s="64"/>
      <c r="FY25" s="64"/>
      <c r="FZ25" s="64"/>
      <c r="GA25" s="64"/>
      <c r="GB25" s="63"/>
      <c r="GC25" s="63"/>
      <c r="GD25" s="63"/>
      <c r="GE25" s="63"/>
      <c r="GF25" s="63"/>
      <c r="GG25" s="63"/>
      <c r="GH25" s="63"/>
      <c r="GI25" s="64"/>
      <c r="GJ25" s="64"/>
      <c r="GK25" s="64"/>
      <c r="GL25" s="64"/>
      <c r="GM25" s="64"/>
      <c r="GN25" s="64"/>
      <c r="GO25" s="64"/>
      <c r="GP25" s="63"/>
      <c r="GQ25" s="63"/>
      <c r="GR25" s="63"/>
      <c r="GS25" s="63"/>
      <c r="GT25" s="63"/>
      <c r="GU25" s="63"/>
      <c r="GV25" s="63"/>
      <c r="GW25" s="64"/>
      <c r="GX25" s="64"/>
      <c r="GY25" s="64"/>
      <c r="GZ25" s="64"/>
      <c r="HA25" s="64"/>
      <c r="HB25" s="64"/>
      <c r="HC25" s="64"/>
      <c r="HD25" s="63"/>
      <c r="HE25" s="63"/>
      <c r="HF25" s="63"/>
      <c r="HG25" s="63"/>
      <c r="HH25" s="63"/>
      <c r="HI25" s="63"/>
      <c r="HJ25" s="63"/>
      <c r="HK25" s="65" t="n">
        <f aca="false">COUNTIF(B25:HJ25,"A")</f>
        <v>0</v>
      </c>
      <c r="HL25" s="66" t="n">
        <f aca="false">COUNTIF(B25:HJ25,"O")</f>
        <v>0</v>
      </c>
      <c r="HM25" s="67" t="n">
        <f aca="false">COUNTIF(B25:HJ25,"D")</f>
        <v>0</v>
      </c>
      <c r="HN25" s="68" t="n">
        <f aca="false">COUNTIF(B25:HJ25,"N/A")</f>
        <v>0</v>
      </c>
      <c r="HO25" s="69" t="n">
        <f aca="false">IFERROR((HK25+HL25)/(HK25+HL25+HM25),0)</f>
        <v>0</v>
      </c>
    </row>
    <row r="26" customFormat="false" ht="15.75" hidden="false" customHeight="true" outlineLevel="0" collapsed="false">
      <c r="A26" s="62" t="n">
        <f aca="false">Roster!B26</f>
        <v>0</v>
      </c>
      <c r="B26" s="63"/>
      <c r="C26" s="63"/>
      <c r="D26" s="63"/>
      <c r="E26" s="63"/>
      <c r="F26" s="63"/>
      <c r="G26" s="63"/>
      <c r="H26" s="63"/>
      <c r="I26" s="64"/>
      <c r="J26" s="64"/>
      <c r="K26" s="64"/>
      <c r="L26" s="64"/>
      <c r="M26" s="64"/>
      <c r="N26" s="64"/>
      <c r="O26" s="64"/>
      <c r="P26" s="63"/>
      <c r="Q26" s="63"/>
      <c r="R26" s="63"/>
      <c r="S26" s="63"/>
      <c r="T26" s="63"/>
      <c r="U26" s="63"/>
      <c r="V26" s="63"/>
      <c r="W26" s="64"/>
      <c r="X26" s="64"/>
      <c r="Y26" s="64"/>
      <c r="Z26" s="64"/>
      <c r="AA26" s="64"/>
      <c r="AB26" s="64"/>
      <c r="AC26" s="64"/>
      <c r="AD26" s="63"/>
      <c r="AE26" s="63"/>
      <c r="AF26" s="63"/>
      <c r="AG26" s="63"/>
      <c r="AH26" s="63"/>
      <c r="AI26" s="63"/>
      <c r="AJ26" s="63"/>
      <c r="AK26" s="64"/>
      <c r="AL26" s="64"/>
      <c r="AM26" s="64"/>
      <c r="AN26" s="64"/>
      <c r="AO26" s="64"/>
      <c r="AP26" s="64"/>
      <c r="AQ26" s="64"/>
      <c r="AR26" s="63"/>
      <c r="AS26" s="63"/>
      <c r="AT26" s="63"/>
      <c r="AU26" s="63"/>
      <c r="AV26" s="63"/>
      <c r="AW26" s="63"/>
      <c r="AX26" s="63"/>
      <c r="AY26" s="64"/>
      <c r="AZ26" s="64"/>
      <c r="BA26" s="64"/>
      <c r="BB26" s="64"/>
      <c r="BC26" s="64"/>
      <c r="BD26" s="64"/>
      <c r="BE26" s="64"/>
      <c r="BF26" s="63"/>
      <c r="BG26" s="63"/>
      <c r="BH26" s="63"/>
      <c r="BI26" s="63"/>
      <c r="BJ26" s="63"/>
      <c r="BK26" s="63"/>
      <c r="BL26" s="63"/>
      <c r="BM26" s="64"/>
      <c r="BN26" s="64"/>
      <c r="BO26" s="64"/>
      <c r="BP26" s="64"/>
      <c r="BQ26" s="64"/>
      <c r="BR26" s="64"/>
      <c r="BS26" s="64"/>
      <c r="BT26" s="63"/>
      <c r="BU26" s="63"/>
      <c r="BV26" s="63"/>
      <c r="BW26" s="63"/>
      <c r="BX26" s="63"/>
      <c r="BY26" s="63"/>
      <c r="BZ26" s="63"/>
      <c r="CA26" s="64"/>
      <c r="CB26" s="64"/>
      <c r="CC26" s="64"/>
      <c r="CD26" s="64"/>
      <c r="CE26" s="64"/>
      <c r="CF26" s="64"/>
      <c r="CG26" s="64"/>
      <c r="CH26" s="63"/>
      <c r="CI26" s="63"/>
      <c r="CJ26" s="63"/>
      <c r="CK26" s="63"/>
      <c r="CL26" s="63"/>
      <c r="CM26" s="63"/>
      <c r="CN26" s="63"/>
      <c r="CO26" s="64"/>
      <c r="CP26" s="64"/>
      <c r="CQ26" s="64"/>
      <c r="CR26" s="64"/>
      <c r="CS26" s="64"/>
      <c r="CT26" s="64"/>
      <c r="CU26" s="64"/>
      <c r="CV26" s="63"/>
      <c r="CW26" s="63"/>
      <c r="CX26" s="63"/>
      <c r="CY26" s="63"/>
      <c r="CZ26" s="63"/>
      <c r="DA26" s="63"/>
      <c r="DB26" s="63"/>
      <c r="DC26" s="64"/>
      <c r="DD26" s="64"/>
      <c r="DE26" s="64"/>
      <c r="DF26" s="64"/>
      <c r="DG26" s="64"/>
      <c r="DH26" s="64"/>
      <c r="DI26" s="64"/>
      <c r="DJ26" s="63"/>
      <c r="DK26" s="63"/>
      <c r="DL26" s="63"/>
      <c r="DM26" s="63"/>
      <c r="DN26" s="63"/>
      <c r="DO26" s="63"/>
      <c r="DP26" s="63"/>
      <c r="DQ26" s="64"/>
      <c r="DR26" s="64"/>
      <c r="DS26" s="64"/>
      <c r="DT26" s="64"/>
      <c r="DU26" s="64"/>
      <c r="DV26" s="64"/>
      <c r="DW26" s="64"/>
      <c r="DX26" s="63"/>
      <c r="DY26" s="63"/>
      <c r="DZ26" s="63"/>
      <c r="EA26" s="63"/>
      <c r="EB26" s="63"/>
      <c r="EC26" s="63"/>
      <c r="ED26" s="63"/>
      <c r="EE26" s="64"/>
      <c r="EF26" s="64"/>
      <c r="EG26" s="64"/>
      <c r="EH26" s="64"/>
      <c r="EI26" s="64"/>
      <c r="EJ26" s="64"/>
      <c r="EK26" s="64"/>
      <c r="EL26" s="63"/>
      <c r="EM26" s="63"/>
      <c r="EN26" s="63"/>
      <c r="EO26" s="63"/>
      <c r="EP26" s="63"/>
      <c r="EQ26" s="63"/>
      <c r="ER26" s="63"/>
      <c r="ES26" s="64"/>
      <c r="ET26" s="64"/>
      <c r="EU26" s="64"/>
      <c r="EV26" s="64"/>
      <c r="EW26" s="64"/>
      <c r="EX26" s="64"/>
      <c r="EY26" s="64"/>
      <c r="EZ26" s="63"/>
      <c r="FA26" s="63"/>
      <c r="FB26" s="63"/>
      <c r="FC26" s="63"/>
      <c r="FD26" s="63"/>
      <c r="FE26" s="63"/>
      <c r="FF26" s="63"/>
      <c r="FG26" s="64"/>
      <c r="FH26" s="64"/>
      <c r="FI26" s="64"/>
      <c r="FJ26" s="64"/>
      <c r="FK26" s="64"/>
      <c r="FL26" s="64"/>
      <c r="FM26" s="64"/>
      <c r="FN26" s="63"/>
      <c r="FO26" s="63"/>
      <c r="FP26" s="63"/>
      <c r="FQ26" s="63"/>
      <c r="FR26" s="63"/>
      <c r="FS26" s="63"/>
      <c r="FT26" s="63"/>
      <c r="FU26" s="64"/>
      <c r="FV26" s="64"/>
      <c r="FW26" s="64"/>
      <c r="FX26" s="64"/>
      <c r="FY26" s="64"/>
      <c r="FZ26" s="64"/>
      <c r="GA26" s="64"/>
      <c r="GB26" s="63"/>
      <c r="GC26" s="63"/>
      <c r="GD26" s="63"/>
      <c r="GE26" s="63"/>
      <c r="GF26" s="63"/>
      <c r="GG26" s="63"/>
      <c r="GH26" s="63"/>
      <c r="GI26" s="64"/>
      <c r="GJ26" s="64"/>
      <c r="GK26" s="64"/>
      <c r="GL26" s="64"/>
      <c r="GM26" s="64"/>
      <c r="GN26" s="64"/>
      <c r="GO26" s="64"/>
      <c r="GP26" s="63"/>
      <c r="GQ26" s="63"/>
      <c r="GR26" s="63"/>
      <c r="GS26" s="63"/>
      <c r="GT26" s="63"/>
      <c r="GU26" s="63"/>
      <c r="GV26" s="63"/>
      <c r="GW26" s="64"/>
      <c r="GX26" s="64"/>
      <c r="GY26" s="64"/>
      <c r="GZ26" s="64"/>
      <c r="HA26" s="64"/>
      <c r="HB26" s="64"/>
      <c r="HC26" s="64"/>
      <c r="HD26" s="63"/>
      <c r="HE26" s="63"/>
      <c r="HF26" s="63"/>
      <c r="HG26" s="63"/>
      <c r="HH26" s="63"/>
      <c r="HI26" s="63"/>
      <c r="HJ26" s="63"/>
      <c r="HK26" s="65" t="n">
        <f aca="false">COUNTIF(B26:HJ26,"A")</f>
        <v>0</v>
      </c>
      <c r="HL26" s="66" t="n">
        <f aca="false">COUNTIF(B26:HJ26,"O")</f>
        <v>0</v>
      </c>
      <c r="HM26" s="67" t="n">
        <f aca="false">COUNTIF(B26:HJ26,"D")</f>
        <v>0</v>
      </c>
      <c r="HN26" s="68" t="n">
        <f aca="false">COUNTIF(B26:HJ26,"N/A")</f>
        <v>0</v>
      </c>
      <c r="HO26" s="69" t="n">
        <f aca="false">IFERROR((HK26+HL26)/(HK26+HL26+HM26),0)</f>
        <v>0</v>
      </c>
    </row>
    <row r="27" customFormat="false" ht="15.75" hidden="false" customHeight="true" outlineLevel="0" collapsed="false">
      <c r="A27" s="62" t="n">
        <f aca="false">Roster!B27</f>
        <v>0</v>
      </c>
      <c r="B27" s="63"/>
      <c r="C27" s="63"/>
      <c r="D27" s="63"/>
      <c r="E27" s="63"/>
      <c r="F27" s="63"/>
      <c r="G27" s="63"/>
      <c r="H27" s="63"/>
      <c r="I27" s="64"/>
      <c r="J27" s="64"/>
      <c r="K27" s="64"/>
      <c r="L27" s="64"/>
      <c r="M27" s="64"/>
      <c r="N27" s="64"/>
      <c r="O27" s="64"/>
      <c r="P27" s="63"/>
      <c r="Q27" s="63"/>
      <c r="R27" s="63"/>
      <c r="S27" s="63"/>
      <c r="T27" s="63"/>
      <c r="U27" s="63"/>
      <c r="V27" s="63"/>
      <c r="W27" s="64"/>
      <c r="X27" s="64"/>
      <c r="Y27" s="64"/>
      <c r="Z27" s="64"/>
      <c r="AA27" s="64"/>
      <c r="AB27" s="64"/>
      <c r="AC27" s="64"/>
      <c r="AD27" s="63"/>
      <c r="AE27" s="63"/>
      <c r="AF27" s="63"/>
      <c r="AG27" s="63"/>
      <c r="AH27" s="63"/>
      <c r="AI27" s="63"/>
      <c r="AJ27" s="63"/>
      <c r="AK27" s="64"/>
      <c r="AL27" s="64"/>
      <c r="AM27" s="64"/>
      <c r="AN27" s="64"/>
      <c r="AO27" s="64"/>
      <c r="AP27" s="64"/>
      <c r="AQ27" s="64"/>
      <c r="AR27" s="63"/>
      <c r="AS27" s="63"/>
      <c r="AT27" s="63"/>
      <c r="AU27" s="63"/>
      <c r="AV27" s="63"/>
      <c r="AW27" s="63"/>
      <c r="AX27" s="63"/>
      <c r="AY27" s="64"/>
      <c r="AZ27" s="64"/>
      <c r="BA27" s="64"/>
      <c r="BB27" s="64"/>
      <c r="BC27" s="64"/>
      <c r="BD27" s="64"/>
      <c r="BE27" s="64"/>
      <c r="BF27" s="63"/>
      <c r="BG27" s="63"/>
      <c r="BH27" s="63"/>
      <c r="BI27" s="63"/>
      <c r="BJ27" s="63"/>
      <c r="BK27" s="63"/>
      <c r="BL27" s="63"/>
      <c r="BM27" s="64"/>
      <c r="BN27" s="64"/>
      <c r="BO27" s="64"/>
      <c r="BP27" s="64"/>
      <c r="BQ27" s="64"/>
      <c r="BR27" s="64"/>
      <c r="BS27" s="64"/>
      <c r="BT27" s="63"/>
      <c r="BU27" s="63"/>
      <c r="BV27" s="63"/>
      <c r="BW27" s="63"/>
      <c r="BX27" s="63"/>
      <c r="BY27" s="63"/>
      <c r="BZ27" s="63"/>
      <c r="CA27" s="64"/>
      <c r="CB27" s="64"/>
      <c r="CC27" s="64"/>
      <c r="CD27" s="64"/>
      <c r="CE27" s="64"/>
      <c r="CF27" s="64"/>
      <c r="CG27" s="64"/>
      <c r="CH27" s="63"/>
      <c r="CI27" s="63"/>
      <c r="CJ27" s="63"/>
      <c r="CK27" s="63"/>
      <c r="CL27" s="63"/>
      <c r="CM27" s="63"/>
      <c r="CN27" s="63"/>
      <c r="CO27" s="64"/>
      <c r="CP27" s="64"/>
      <c r="CQ27" s="64"/>
      <c r="CR27" s="64"/>
      <c r="CS27" s="64"/>
      <c r="CT27" s="64"/>
      <c r="CU27" s="64"/>
      <c r="CV27" s="63"/>
      <c r="CW27" s="63"/>
      <c r="CX27" s="63"/>
      <c r="CY27" s="63"/>
      <c r="CZ27" s="63"/>
      <c r="DA27" s="63"/>
      <c r="DB27" s="63"/>
      <c r="DC27" s="64"/>
      <c r="DD27" s="64"/>
      <c r="DE27" s="64"/>
      <c r="DF27" s="64"/>
      <c r="DG27" s="64"/>
      <c r="DH27" s="64"/>
      <c r="DI27" s="64"/>
      <c r="DJ27" s="63"/>
      <c r="DK27" s="63"/>
      <c r="DL27" s="63"/>
      <c r="DM27" s="63"/>
      <c r="DN27" s="63"/>
      <c r="DO27" s="63"/>
      <c r="DP27" s="63"/>
      <c r="DQ27" s="64"/>
      <c r="DR27" s="64"/>
      <c r="DS27" s="64"/>
      <c r="DT27" s="64"/>
      <c r="DU27" s="64"/>
      <c r="DV27" s="64"/>
      <c r="DW27" s="64"/>
      <c r="DX27" s="63"/>
      <c r="DY27" s="63"/>
      <c r="DZ27" s="63"/>
      <c r="EA27" s="63"/>
      <c r="EB27" s="63"/>
      <c r="EC27" s="63"/>
      <c r="ED27" s="63"/>
      <c r="EE27" s="64"/>
      <c r="EF27" s="64"/>
      <c r="EG27" s="64"/>
      <c r="EH27" s="64"/>
      <c r="EI27" s="64"/>
      <c r="EJ27" s="64"/>
      <c r="EK27" s="64"/>
      <c r="EL27" s="63"/>
      <c r="EM27" s="63"/>
      <c r="EN27" s="63"/>
      <c r="EO27" s="63"/>
      <c r="EP27" s="63"/>
      <c r="EQ27" s="63"/>
      <c r="ER27" s="63"/>
      <c r="ES27" s="64"/>
      <c r="ET27" s="64"/>
      <c r="EU27" s="64"/>
      <c r="EV27" s="64"/>
      <c r="EW27" s="64"/>
      <c r="EX27" s="64"/>
      <c r="EY27" s="64"/>
      <c r="EZ27" s="63"/>
      <c r="FA27" s="63"/>
      <c r="FB27" s="63"/>
      <c r="FC27" s="63"/>
      <c r="FD27" s="63"/>
      <c r="FE27" s="63"/>
      <c r="FF27" s="63"/>
      <c r="FG27" s="64"/>
      <c r="FH27" s="64"/>
      <c r="FI27" s="64"/>
      <c r="FJ27" s="64"/>
      <c r="FK27" s="64"/>
      <c r="FL27" s="64"/>
      <c r="FM27" s="64"/>
      <c r="FN27" s="63"/>
      <c r="FO27" s="63"/>
      <c r="FP27" s="63"/>
      <c r="FQ27" s="63"/>
      <c r="FR27" s="63"/>
      <c r="FS27" s="63"/>
      <c r="FT27" s="63"/>
      <c r="FU27" s="64"/>
      <c r="FV27" s="64"/>
      <c r="FW27" s="64"/>
      <c r="FX27" s="64"/>
      <c r="FY27" s="64"/>
      <c r="FZ27" s="64"/>
      <c r="GA27" s="64"/>
      <c r="GB27" s="63"/>
      <c r="GC27" s="63"/>
      <c r="GD27" s="63"/>
      <c r="GE27" s="63"/>
      <c r="GF27" s="63"/>
      <c r="GG27" s="63"/>
      <c r="GH27" s="63"/>
      <c r="GI27" s="64"/>
      <c r="GJ27" s="64"/>
      <c r="GK27" s="64"/>
      <c r="GL27" s="64"/>
      <c r="GM27" s="64"/>
      <c r="GN27" s="64"/>
      <c r="GO27" s="64"/>
      <c r="GP27" s="63"/>
      <c r="GQ27" s="63"/>
      <c r="GR27" s="63"/>
      <c r="GS27" s="63"/>
      <c r="GT27" s="63"/>
      <c r="GU27" s="63"/>
      <c r="GV27" s="63"/>
      <c r="GW27" s="64"/>
      <c r="GX27" s="64"/>
      <c r="GY27" s="64"/>
      <c r="GZ27" s="64"/>
      <c r="HA27" s="64"/>
      <c r="HB27" s="64"/>
      <c r="HC27" s="64"/>
      <c r="HD27" s="63"/>
      <c r="HE27" s="63"/>
      <c r="HF27" s="63"/>
      <c r="HG27" s="63"/>
      <c r="HH27" s="63"/>
      <c r="HI27" s="63"/>
      <c r="HJ27" s="63"/>
      <c r="HK27" s="65" t="n">
        <f aca="false">COUNTIF(B27:HJ27,"A")</f>
        <v>0</v>
      </c>
      <c r="HL27" s="66" t="n">
        <f aca="false">COUNTIF(B27:HJ27,"O")</f>
        <v>0</v>
      </c>
      <c r="HM27" s="67" t="n">
        <f aca="false">COUNTIF(B27:HJ27,"D")</f>
        <v>0</v>
      </c>
      <c r="HN27" s="68" t="n">
        <f aca="false">COUNTIF(B27:HJ27,"N/A")</f>
        <v>0</v>
      </c>
      <c r="HO27" s="69" t="n">
        <f aca="false">IFERROR((HK27+HL27)/(HK27+HL27+HM27),0)</f>
        <v>0</v>
      </c>
    </row>
    <row r="28" customFormat="false" ht="15.75" hidden="false" customHeight="true" outlineLevel="0" collapsed="false">
      <c r="A28" s="62" t="n">
        <f aca="false">Roster!B28</f>
        <v>0</v>
      </c>
      <c r="B28" s="63"/>
      <c r="C28" s="63"/>
      <c r="D28" s="63"/>
      <c r="E28" s="63"/>
      <c r="F28" s="63"/>
      <c r="G28" s="63"/>
      <c r="H28" s="63"/>
      <c r="I28" s="64"/>
      <c r="J28" s="64"/>
      <c r="K28" s="64"/>
      <c r="L28" s="64"/>
      <c r="M28" s="64"/>
      <c r="N28" s="64"/>
      <c r="O28" s="64"/>
      <c r="P28" s="63"/>
      <c r="Q28" s="63"/>
      <c r="R28" s="63"/>
      <c r="S28" s="63"/>
      <c r="T28" s="63"/>
      <c r="U28" s="63"/>
      <c r="V28" s="63"/>
      <c r="W28" s="64"/>
      <c r="X28" s="64"/>
      <c r="Y28" s="64"/>
      <c r="Z28" s="64"/>
      <c r="AA28" s="64"/>
      <c r="AB28" s="64"/>
      <c r="AC28" s="64"/>
      <c r="AD28" s="63"/>
      <c r="AE28" s="63"/>
      <c r="AF28" s="63"/>
      <c r="AG28" s="63"/>
      <c r="AH28" s="63"/>
      <c r="AI28" s="63"/>
      <c r="AJ28" s="63"/>
      <c r="AK28" s="64"/>
      <c r="AL28" s="64"/>
      <c r="AM28" s="64"/>
      <c r="AN28" s="64"/>
      <c r="AO28" s="64"/>
      <c r="AP28" s="64"/>
      <c r="AQ28" s="64"/>
      <c r="AR28" s="63"/>
      <c r="AS28" s="63"/>
      <c r="AT28" s="63"/>
      <c r="AU28" s="63"/>
      <c r="AV28" s="63"/>
      <c r="AW28" s="63"/>
      <c r="AX28" s="63"/>
      <c r="AY28" s="64"/>
      <c r="AZ28" s="64"/>
      <c r="BA28" s="64"/>
      <c r="BB28" s="64"/>
      <c r="BC28" s="64"/>
      <c r="BD28" s="64"/>
      <c r="BE28" s="64"/>
      <c r="BF28" s="63"/>
      <c r="BG28" s="63"/>
      <c r="BH28" s="63"/>
      <c r="BI28" s="63"/>
      <c r="BJ28" s="63"/>
      <c r="BK28" s="63"/>
      <c r="BL28" s="63"/>
      <c r="BM28" s="64"/>
      <c r="BN28" s="64"/>
      <c r="BO28" s="64"/>
      <c r="BP28" s="64"/>
      <c r="BQ28" s="64"/>
      <c r="BR28" s="64"/>
      <c r="BS28" s="64"/>
      <c r="BT28" s="63"/>
      <c r="BU28" s="63"/>
      <c r="BV28" s="63"/>
      <c r="BW28" s="63"/>
      <c r="BX28" s="63"/>
      <c r="BY28" s="63"/>
      <c r="BZ28" s="63"/>
      <c r="CA28" s="64"/>
      <c r="CB28" s="64"/>
      <c r="CC28" s="64"/>
      <c r="CD28" s="64"/>
      <c r="CE28" s="64"/>
      <c r="CF28" s="64"/>
      <c r="CG28" s="64"/>
      <c r="CH28" s="63"/>
      <c r="CI28" s="63"/>
      <c r="CJ28" s="63"/>
      <c r="CK28" s="63"/>
      <c r="CL28" s="63"/>
      <c r="CM28" s="63"/>
      <c r="CN28" s="63"/>
      <c r="CO28" s="64"/>
      <c r="CP28" s="64"/>
      <c r="CQ28" s="64"/>
      <c r="CR28" s="64"/>
      <c r="CS28" s="64"/>
      <c r="CT28" s="64"/>
      <c r="CU28" s="64"/>
      <c r="CV28" s="63"/>
      <c r="CW28" s="63"/>
      <c r="CX28" s="63"/>
      <c r="CY28" s="63"/>
      <c r="CZ28" s="63"/>
      <c r="DA28" s="63"/>
      <c r="DB28" s="63"/>
      <c r="DC28" s="64"/>
      <c r="DD28" s="64"/>
      <c r="DE28" s="64"/>
      <c r="DF28" s="64"/>
      <c r="DG28" s="64"/>
      <c r="DH28" s="64"/>
      <c r="DI28" s="64"/>
      <c r="DJ28" s="63"/>
      <c r="DK28" s="63"/>
      <c r="DL28" s="63"/>
      <c r="DM28" s="63"/>
      <c r="DN28" s="63"/>
      <c r="DO28" s="63"/>
      <c r="DP28" s="63"/>
      <c r="DQ28" s="64"/>
      <c r="DR28" s="64"/>
      <c r="DS28" s="64"/>
      <c r="DT28" s="64"/>
      <c r="DU28" s="64"/>
      <c r="DV28" s="64"/>
      <c r="DW28" s="64"/>
      <c r="DX28" s="63"/>
      <c r="DY28" s="63"/>
      <c r="DZ28" s="63"/>
      <c r="EA28" s="63"/>
      <c r="EB28" s="63"/>
      <c r="EC28" s="63"/>
      <c r="ED28" s="63"/>
      <c r="EE28" s="64"/>
      <c r="EF28" s="64"/>
      <c r="EG28" s="64"/>
      <c r="EH28" s="64"/>
      <c r="EI28" s="64"/>
      <c r="EJ28" s="64"/>
      <c r="EK28" s="64"/>
      <c r="EL28" s="63"/>
      <c r="EM28" s="63"/>
      <c r="EN28" s="63"/>
      <c r="EO28" s="63"/>
      <c r="EP28" s="63"/>
      <c r="EQ28" s="63"/>
      <c r="ER28" s="63"/>
      <c r="ES28" s="64"/>
      <c r="ET28" s="64"/>
      <c r="EU28" s="64"/>
      <c r="EV28" s="64"/>
      <c r="EW28" s="64"/>
      <c r="EX28" s="64"/>
      <c r="EY28" s="64"/>
      <c r="EZ28" s="63"/>
      <c r="FA28" s="63"/>
      <c r="FB28" s="63"/>
      <c r="FC28" s="63"/>
      <c r="FD28" s="63"/>
      <c r="FE28" s="63"/>
      <c r="FF28" s="63"/>
      <c r="FG28" s="64"/>
      <c r="FH28" s="64"/>
      <c r="FI28" s="64"/>
      <c r="FJ28" s="64"/>
      <c r="FK28" s="64"/>
      <c r="FL28" s="64"/>
      <c r="FM28" s="64"/>
      <c r="FN28" s="63"/>
      <c r="FO28" s="63"/>
      <c r="FP28" s="63"/>
      <c r="FQ28" s="63"/>
      <c r="FR28" s="63"/>
      <c r="FS28" s="63"/>
      <c r="FT28" s="63"/>
      <c r="FU28" s="64"/>
      <c r="FV28" s="64"/>
      <c r="FW28" s="64"/>
      <c r="FX28" s="64"/>
      <c r="FY28" s="64"/>
      <c r="FZ28" s="64"/>
      <c r="GA28" s="64"/>
      <c r="GB28" s="63"/>
      <c r="GC28" s="63"/>
      <c r="GD28" s="63"/>
      <c r="GE28" s="63"/>
      <c r="GF28" s="63"/>
      <c r="GG28" s="63"/>
      <c r="GH28" s="63"/>
      <c r="GI28" s="64"/>
      <c r="GJ28" s="64"/>
      <c r="GK28" s="64"/>
      <c r="GL28" s="64"/>
      <c r="GM28" s="64"/>
      <c r="GN28" s="64"/>
      <c r="GO28" s="64"/>
      <c r="GP28" s="63"/>
      <c r="GQ28" s="63"/>
      <c r="GR28" s="63"/>
      <c r="GS28" s="63"/>
      <c r="GT28" s="63"/>
      <c r="GU28" s="63"/>
      <c r="GV28" s="63"/>
      <c r="GW28" s="64"/>
      <c r="GX28" s="64"/>
      <c r="GY28" s="64"/>
      <c r="GZ28" s="64"/>
      <c r="HA28" s="64"/>
      <c r="HB28" s="64"/>
      <c r="HC28" s="64"/>
      <c r="HD28" s="63"/>
      <c r="HE28" s="63"/>
      <c r="HF28" s="63"/>
      <c r="HG28" s="63"/>
      <c r="HH28" s="63"/>
      <c r="HI28" s="63"/>
      <c r="HJ28" s="63"/>
      <c r="HK28" s="65" t="n">
        <f aca="false">COUNTIF(B28:HJ28,"A")</f>
        <v>0</v>
      </c>
      <c r="HL28" s="66" t="n">
        <f aca="false">COUNTIF(B28:HJ28,"O")</f>
        <v>0</v>
      </c>
      <c r="HM28" s="67" t="n">
        <f aca="false">COUNTIF(B28:HJ28,"D")</f>
        <v>0</v>
      </c>
      <c r="HN28" s="68" t="n">
        <f aca="false">COUNTIF(B28:HJ28,"N/A")</f>
        <v>0</v>
      </c>
      <c r="HO28" s="69" t="n">
        <f aca="false">IFERROR((HK28+HL28)/(HK28+HL28+HM28),0)</f>
        <v>0</v>
      </c>
    </row>
    <row r="29" customFormat="false" ht="15.75" hidden="false" customHeight="true" outlineLevel="0" collapsed="false">
      <c r="A29" s="62" t="n">
        <f aca="false">Roster!B29</f>
        <v>0</v>
      </c>
      <c r="B29" s="63"/>
      <c r="C29" s="63"/>
      <c r="D29" s="63"/>
      <c r="E29" s="63"/>
      <c r="F29" s="63"/>
      <c r="G29" s="63"/>
      <c r="H29" s="63"/>
      <c r="I29" s="64"/>
      <c r="J29" s="64"/>
      <c r="K29" s="64"/>
      <c r="L29" s="64"/>
      <c r="M29" s="64"/>
      <c r="N29" s="64"/>
      <c r="O29" s="64"/>
      <c r="P29" s="63"/>
      <c r="Q29" s="63"/>
      <c r="R29" s="63"/>
      <c r="S29" s="63"/>
      <c r="T29" s="63"/>
      <c r="U29" s="63"/>
      <c r="V29" s="63"/>
      <c r="W29" s="64"/>
      <c r="X29" s="64"/>
      <c r="Y29" s="64"/>
      <c r="Z29" s="64"/>
      <c r="AA29" s="64"/>
      <c r="AB29" s="64"/>
      <c r="AC29" s="64"/>
      <c r="AD29" s="63"/>
      <c r="AE29" s="63"/>
      <c r="AF29" s="63"/>
      <c r="AG29" s="63"/>
      <c r="AH29" s="63"/>
      <c r="AI29" s="63"/>
      <c r="AJ29" s="63"/>
      <c r="AK29" s="64"/>
      <c r="AL29" s="64"/>
      <c r="AM29" s="64"/>
      <c r="AN29" s="64"/>
      <c r="AO29" s="64"/>
      <c r="AP29" s="64"/>
      <c r="AQ29" s="64"/>
      <c r="AR29" s="63"/>
      <c r="AS29" s="63"/>
      <c r="AT29" s="63"/>
      <c r="AU29" s="63"/>
      <c r="AV29" s="63"/>
      <c r="AW29" s="63"/>
      <c r="AX29" s="63"/>
      <c r="AY29" s="64"/>
      <c r="AZ29" s="64"/>
      <c r="BA29" s="64"/>
      <c r="BB29" s="64"/>
      <c r="BC29" s="64"/>
      <c r="BD29" s="64"/>
      <c r="BE29" s="64"/>
      <c r="BF29" s="63"/>
      <c r="BG29" s="63"/>
      <c r="BH29" s="63"/>
      <c r="BI29" s="63"/>
      <c r="BJ29" s="63"/>
      <c r="BK29" s="63"/>
      <c r="BL29" s="63"/>
      <c r="BM29" s="64"/>
      <c r="BN29" s="64"/>
      <c r="BO29" s="64"/>
      <c r="BP29" s="64"/>
      <c r="BQ29" s="64"/>
      <c r="BR29" s="64"/>
      <c r="BS29" s="64"/>
      <c r="BT29" s="63"/>
      <c r="BU29" s="63"/>
      <c r="BV29" s="63"/>
      <c r="BW29" s="63"/>
      <c r="BX29" s="63"/>
      <c r="BY29" s="63"/>
      <c r="BZ29" s="63"/>
      <c r="CA29" s="64"/>
      <c r="CB29" s="64"/>
      <c r="CC29" s="64"/>
      <c r="CD29" s="64"/>
      <c r="CE29" s="64"/>
      <c r="CF29" s="64"/>
      <c r="CG29" s="64"/>
      <c r="CH29" s="63"/>
      <c r="CI29" s="63"/>
      <c r="CJ29" s="63"/>
      <c r="CK29" s="63"/>
      <c r="CL29" s="63"/>
      <c r="CM29" s="63"/>
      <c r="CN29" s="63"/>
      <c r="CO29" s="64"/>
      <c r="CP29" s="64"/>
      <c r="CQ29" s="64"/>
      <c r="CR29" s="64"/>
      <c r="CS29" s="64"/>
      <c r="CT29" s="64"/>
      <c r="CU29" s="64"/>
      <c r="CV29" s="63"/>
      <c r="CW29" s="63"/>
      <c r="CX29" s="63"/>
      <c r="CY29" s="63"/>
      <c r="CZ29" s="63"/>
      <c r="DA29" s="63"/>
      <c r="DB29" s="63"/>
      <c r="DC29" s="64"/>
      <c r="DD29" s="64"/>
      <c r="DE29" s="64"/>
      <c r="DF29" s="64"/>
      <c r="DG29" s="64"/>
      <c r="DH29" s="64"/>
      <c r="DI29" s="64"/>
      <c r="DJ29" s="63"/>
      <c r="DK29" s="63"/>
      <c r="DL29" s="63"/>
      <c r="DM29" s="63"/>
      <c r="DN29" s="63"/>
      <c r="DO29" s="63"/>
      <c r="DP29" s="63"/>
      <c r="DQ29" s="64"/>
      <c r="DR29" s="64"/>
      <c r="DS29" s="64"/>
      <c r="DT29" s="64"/>
      <c r="DU29" s="64"/>
      <c r="DV29" s="64"/>
      <c r="DW29" s="64"/>
      <c r="DX29" s="63"/>
      <c r="DY29" s="63"/>
      <c r="DZ29" s="63"/>
      <c r="EA29" s="63"/>
      <c r="EB29" s="63"/>
      <c r="EC29" s="63"/>
      <c r="ED29" s="63"/>
      <c r="EE29" s="64"/>
      <c r="EF29" s="64"/>
      <c r="EG29" s="64"/>
      <c r="EH29" s="64"/>
      <c r="EI29" s="64"/>
      <c r="EJ29" s="64"/>
      <c r="EK29" s="64"/>
      <c r="EL29" s="63"/>
      <c r="EM29" s="63"/>
      <c r="EN29" s="63"/>
      <c r="EO29" s="63"/>
      <c r="EP29" s="63"/>
      <c r="EQ29" s="63"/>
      <c r="ER29" s="63"/>
      <c r="ES29" s="64"/>
      <c r="ET29" s="64"/>
      <c r="EU29" s="64"/>
      <c r="EV29" s="64"/>
      <c r="EW29" s="64"/>
      <c r="EX29" s="64"/>
      <c r="EY29" s="64"/>
      <c r="EZ29" s="63"/>
      <c r="FA29" s="63"/>
      <c r="FB29" s="63"/>
      <c r="FC29" s="63"/>
      <c r="FD29" s="63"/>
      <c r="FE29" s="63"/>
      <c r="FF29" s="63"/>
      <c r="FG29" s="64"/>
      <c r="FH29" s="64"/>
      <c r="FI29" s="64"/>
      <c r="FJ29" s="64"/>
      <c r="FK29" s="64"/>
      <c r="FL29" s="64"/>
      <c r="FM29" s="64"/>
      <c r="FN29" s="63"/>
      <c r="FO29" s="63"/>
      <c r="FP29" s="63"/>
      <c r="FQ29" s="63"/>
      <c r="FR29" s="63"/>
      <c r="FS29" s="63"/>
      <c r="FT29" s="63"/>
      <c r="FU29" s="64"/>
      <c r="FV29" s="64"/>
      <c r="FW29" s="64"/>
      <c r="FX29" s="64"/>
      <c r="FY29" s="64"/>
      <c r="FZ29" s="64"/>
      <c r="GA29" s="64"/>
      <c r="GB29" s="63"/>
      <c r="GC29" s="63"/>
      <c r="GD29" s="63"/>
      <c r="GE29" s="63"/>
      <c r="GF29" s="63"/>
      <c r="GG29" s="63"/>
      <c r="GH29" s="63"/>
      <c r="GI29" s="64"/>
      <c r="GJ29" s="64"/>
      <c r="GK29" s="64"/>
      <c r="GL29" s="64"/>
      <c r="GM29" s="64"/>
      <c r="GN29" s="64"/>
      <c r="GO29" s="64"/>
      <c r="GP29" s="63"/>
      <c r="GQ29" s="63"/>
      <c r="GR29" s="63"/>
      <c r="GS29" s="63"/>
      <c r="GT29" s="63"/>
      <c r="GU29" s="63"/>
      <c r="GV29" s="63"/>
      <c r="GW29" s="64"/>
      <c r="GX29" s="64"/>
      <c r="GY29" s="64"/>
      <c r="GZ29" s="64"/>
      <c r="HA29" s="64"/>
      <c r="HB29" s="64"/>
      <c r="HC29" s="64"/>
      <c r="HD29" s="63"/>
      <c r="HE29" s="63"/>
      <c r="HF29" s="63"/>
      <c r="HG29" s="63"/>
      <c r="HH29" s="63"/>
      <c r="HI29" s="63"/>
      <c r="HJ29" s="63"/>
      <c r="HK29" s="65" t="n">
        <f aca="false">COUNTIF(B29:HJ29,"A")</f>
        <v>0</v>
      </c>
      <c r="HL29" s="66" t="n">
        <f aca="false">COUNTIF(B29:HJ29,"O")</f>
        <v>0</v>
      </c>
      <c r="HM29" s="67" t="n">
        <f aca="false">COUNTIF(B29:HJ29,"D")</f>
        <v>0</v>
      </c>
      <c r="HN29" s="68" t="n">
        <f aca="false">COUNTIF(B29:HJ29,"N/A")</f>
        <v>0</v>
      </c>
      <c r="HO29" s="69" t="n">
        <f aca="false">IFERROR((HK29+HL29)/(HK29+HL29+HM29),0)</f>
        <v>0</v>
      </c>
    </row>
    <row r="30" customFormat="false" ht="15.75" hidden="false" customHeight="true" outlineLevel="0" collapsed="false">
      <c r="A30" s="62" t="n">
        <f aca="false">Roster!B30</f>
        <v>0</v>
      </c>
      <c r="B30" s="63"/>
      <c r="C30" s="63"/>
      <c r="D30" s="63"/>
      <c r="E30" s="63"/>
      <c r="F30" s="63"/>
      <c r="G30" s="63"/>
      <c r="H30" s="63"/>
      <c r="I30" s="64"/>
      <c r="J30" s="64"/>
      <c r="K30" s="64"/>
      <c r="L30" s="64"/>
      <c r="M30" s="64"/>
      <c r="N30" s="64"/>
      <c r="O30" s="64"/>
      <c r="P30" s="63"/>
      <c r="Q30" s="63"/>
      <c r="R30" s="63"/>
      <c r="S30" s="63"/>
      <c r="T30" s="63"/>
      <c r="U30" s="63"/>
      <c r="V30" s="63"/>
      <c r="W30" s="64"/>
      <c r="X30" s="64"/>
      <c r="Y30" s="64"/>
      <c r="Z30" s="64"/>
      <c r="AA30" s="64"/>
      <c r="AB30" s="64"/>
      <c r="AC30" s="64"/>
      <c r="AD30" s="63"/>
      <c r="AE30" s="63"/>
      <c r="AF30" s="63"/>
      <c r="AG30" s="63"/>
      <c r="AH30" s="63"/>
      <c r="AI30" s="63"/>
      <c r="AJ30" s="63"/>
      <c r="AK30" s="64"/>
      <c r="AL30" s="64"/>
      <c r="AM30" s="64"/>
      <c r="AN30" s="64"/>
      <c r="AO30" s="64"/>
      <c r="AP30" s="64"/>
      <c r="AQ30" s="64"/>
      <c r="AR30" s="63"/>
      <c r="AS30" s="63"/>
      <c r="AT30" s="63"/>
      <c r="AU30" s="63"/>
      <c r="AV30" s="63"/>
      <c r="AW30" s="63"/>
      <c r="AX30" s="63"/>
      <c r="AY30" s="64"/>
      <c r="AZ30" s="64"/>
      <c r="BA30" s="64"/>
      <c r="BB30" s="64"/>
      <c r="BC30" s="64"/>
      <c r="BD30" s="64"/>
      <c r="BE30" s="64"/>
      <c r="BF30" s="63"/>
      <c r="BG30" s="63"/>
      <c r="BH30" s="63"/>
      <c r="BI30" s="63"/>
      <c r="BJ30" s="63"/>
      <c r="BK30" s="63"/>
      <c r="BL30" s="63"/>
      <c r="BM30" s="64"/>
      <c r="BN30" s="64"/>
      <c r="BO30" s="64"/>
      <c r="BP30" s="64"/>
      <c r="BQ30" s="64"/>
      <c r="BR30" s="64"/>
      <c r="BS30" s="64"/>
      <c r="BT30" s="63"/>
      <c r="BU30" s="63"/>
      <c r="BV30" s="63"/>
      <c r="BW30" s="63"/>
      <c r="BX30" s="63"/>
      <c r="BY30" s="63"/>
      <c r="BZ30" s="63"/>
      <c r="CA30" s="64"/>
      <c r="CB30" s="64"/>
      <c r="CC30" s="64"/>
      <c r="CD30" s="64"/>
      <c r="CE30" s="64"/>
      <c r="CF30" s="64"/>
      <c r="CG30" s="64"/>
      <c r="CH30" s="63"/>
      <c r="CI30" s="63"/>
      <c r="CJ30" s="63"/>
      <c r="CK30" s="63"/>
      <c r="CL30" s="63"/>
      <c r="CM30" s="63"/>
      <c r="CN30" s="63"/>
      <c r="CO30" s="64"/>
      <c r="CP30" s="64"/>
      <c r="CQ30" s="64"/>
      <c r="CR30" s="64"/>
      <c r="CS30" s="64"/>
      <c r="CT30" s="64"/>
      <c r="CU30" s="64"/>
      <c r="CV30" s="63"/>
      <c r="CW30" s="63"/>
      <c r="CX30" s="63"/>
      <c r="CY30" s="63"/>
      <c r="CZ30" s="63"/>
      <c r="DA30" s="63"/>
      <c r="DB30" s="63"/>
      <c r="DC30" s="64"/>
      <c r="DD30" s="64"/>
      <c r="DE30" s="64"/>
      <c r="DF30" s="64"/>
      <c r="DG30" s="64"/>
      <c r="DH30" s="64"/>
      <c r="DI30" s="64"/>
      <c r="DJ30" s="63"/>
      <c r="DK30" s="63"/>
      <c r="DL30" s="63"/>
      <c r="DM30" s="63"/>
      <c r="DN30" s="63"/>
      <c r="DO30" s="63"/>
      <c r="DP30" s="63"/>
      <c r="DQ30" s="64"/>
      <c r="DR30" s="64"/>
      <c r="DS30" s="64"/>
      <c r="DT30" s="64"/>
      <c r="DU30" s="64"/>
      <c r="DV30" s="64"/>
      <c r="DW30" s="64"/>
      <c r="DX30" s="63"/>
      <c r="DY30" s="63"/>
      <c r="DZ30" s="63"/>
      <c r="EA30" s="63"/>
      <c r="EB30" s="63"/>
      <c r="EC30" s="63"/>
      <c r="ED30" s="63"/>
      <c r="EE30" s="64"/>
      <c r="EF30" s="64"/>
      <c r="EG30" s="64"/>
      <c r="EH30" s="64"/>
      <c r="EI30" s="64"/>
      <c r="EJ30" s="64"/>
      <c r="EK30" s="64"/>
      <c r="EL30" s="63"/>
      <c r="EM30" s="63"/>
      <c r="EN30" s="63"/>
      <c r="EO30" s="63"/>
      <c r="EP30" s="63"/>
      <c r="EQ30" s="63"/>
      <c r="ER30" s="63"/>
      <c r="ES30" s="64"/>
      <c r="ET30" s="64"/>
      <c r="EU30" s="64"/>
      <c r="EV30" s="64"/>
      <c r="EW30" s="64"/>
      <c r="EX30" s="64"/>
      <c r="EY30" s="64"/>
      <c r="EZ30" s="63"/>
      <c r="FA30" s="63"/>
      <c r="FB30" s="63"/>
      <c r="FC30" s="63"/>
      <c r="FD30" s="63"/>
      <c r="FE30" s="63"/>
      <c r="FF30" s="63"/>
      <c r="FG30" s="64"/>
      <c r="FH30" s="64"/>
      <c r="FI30" s="64"/>
      <c r="FJ30" s="64"/>
      <c r="FK30" s="64"/>
      <c r="FL30" s="64"/>
      <c r="FM30" s="64"/>
      <c r="FN30" s="63"/>
      <c r="FO30" s="63"/>
      <c r="FP30" s="63"/>
      <c r="FQ30" s="63"/>
      <c r="FR30" s="63"/>
      <c r="FS30" s="63"/>
      <c r="FT30" s="63"/>
      <c r="FU30" s="64"/>
      <c r="FV30" s="64"/>
      <c r="FW30" s="64"/>
      <c r="FX30" s="64"/>
      <c r="FY30" s="64"/>
      <c r="FZ30" s="64"/>
      <c r="GA30" s="64"/>
      <c r="GB30" s="63"/>
      <c r="GC30" s="63"/>
      <c r="GD30" s="63"/>
      <c r="GE30" s="63"/>
      <c r="GF30" s="63"/>
      <c r="GG30" s="63"/>
      <c r="GH30" s="63"/>
      <c r="GI30" s="64"/>
      <c r="GJ30" s="64"/>
      <c r="GK30" s="64"/>
      <c r="GL30" s="64"/>
      <c r="GM30" s="64"/>
      <c r="GN30" s="64"/>
      <c r="GO30" s="64"/>
      <c r="GP30" s="63"/>
      <c r="GQ30" s="63"/>
      <c r="GR30" s="63"/>
      <c r="GS30" s="63"/>
      <c r="GT30" s="63"/>
      <c r="GU30" s="63"/>
      <c r="GV30" s="63"/>
      <c r="GW30" s="64"/>
      <c r="GX30" s="64"/>
      <c r="GY30" s="64"/>
      <c r="GZ30" s="64"/>
      <c r="HA30" s="64"/>
      <c r="HB30" s="64"/>
      <c r="HC30" s="64"/>
      <c r="HD30" s="63"/>
      <c r="HE30" s="63"/>
      <c r="HF30" s="63"/>
      <c r="HG30" s="63"/>
      <c r="HH30" s="63"/>
      <c r="HI30" s="63"/>
      <c r="HJ30" s="63"/>
      <c r="HK30" s="65" t="n">
        <f aca="false">COUNTIF(B30:HJ30,"A")</f>
        <v>0</v>
      </c>
      <c r="HL30" s="66" t="n">
        <f aca="false">COUNTIF(B30:HJ30,"O")</f>
        <v>0</v>
      </c>
      <c r="HM30" s="67" t="n">
        <f aca="false">COUNTIF(B30:HJ30,"D")</f>
        <v>0</v>
      </c>
      <c r="HN30" s="68" t="n">
        <f aca="false">COUNTIF(B30:HJ30,"N/A")</f>
        <v>0</v>
      </c>
      <c r="HO30" s="69" t="n">
        <f aca="false">IFERROR((HK30+HL30)/(HK30+HL30+HM30),0)</f>
        <v>0</v>
      </c>
    </row>
    <row r="31" customFormat="false" ht="15.75" hidden="false" customHeight="true" outlineLevel="0" collapsed="false">
      <c r="A31" s="62" t="n">
        <f aca="false">Roster!B31</f>
        <v>0</v>
      </c>
      <c r="B31" s="63"/>
      <c r="C31" s="63"/>
      <c r="D31" s="63"/>
      <c r="E31" s="63"/>
      <c r="F31" s="63"/>
      <c r="G31" s="63"/>
      <c r="H31" s="63"/>
      <c r="I31" s="64"/>
      <c r="J31" s="64"/>
      <c r="K31" s="64"/>
      <c r="L31" s="64"/>
      <c r="M31" s="64"/>
      <c r="N31" s="64"/>
      <c r="O31" s="64"/>
      <c r="P31" s="63"/>
      <c r="Q31" s="63"/>
      <c r="R31" s="63"/>
      <c r="S31" s="63"/>
      <c r="T31" s="63"/>
      <c r="U31" s="63"/>
      <c r="V31" s="63"/>
      <c r="W31" s="64"/>
      <c r="X31" s="64"/>
      <c r="Y31" s="64"/>
      <c r="Z31" s="64"/>
      <c r="AA31" s="64"/>
      <c r="AB31" s="64"/>
      <c r="AC31" s="64"/>
      <c r="AD31" s="63"/>
      <c r="AE31" s="63"/>
      <c r="AF31" s="63"/>
      <c r="AG31" s="63"/>
      <c r="AH31" s="63"/>
      <c r="AI31" s="63"/>
      <c r="AJ31" s="63"/>
      <c r="AK31" s="64"/>
      <c r="AL31" s="64"/>
      <c r="AM31" s="64"/>
      <c r="AN31" s="64"/>
      <c r="AO31" s="64"/>
      <c r="AP31" s="64"/>
      <c r="AQ31" s="64"/>
      <c r="AR31" s="63"/>
      <c r="AS31" s="63"/>
      <c r="AT31" s="63"/>
      <c r="AU31" s="63"/>
      <c r="AV31" s="63"/>
      <c r="AW31" s="63"/>
      <c r="AX31" s="63"/>
      <c r="AY31" s="64"/>
      <c r="AZ31" s="64"/>
      <c r="BA31" s="64"/>
      <c r="BB31" s="64"/>
      <c r="BC31" s="64"/>
      <c r="BD31" s="64"/>
      <c r="BE31" s="64"/>
      <c r="BF31" s="63"/>
      <c r="BG31" s="63"/>
      <c r="BH31" s="63"/>
      <c r="BI31" s="63"/>
      <c r="BJ31" s="63"/>
      <c r="BK31" s="63"/>
      <c r="BL31" s="63"/>
      <c r="BM31" s="64"/>
      <c r="BN31" s="64"/>
      <c r="BO31" s="64"/>
      <c r="BP31" s="64"/>
      <c r="BQ31" s="64"/>
      <c r="BR31" s="64"/>
      <c r="BS31" s="64"/>
      <c r="BT31" s="63"/>
      <c r="BU31" s="63"/>
      <c r="BV31" s="63"/>
      <c r="BW31" s="63"/>
      <c r="BX31" s="63"/>
      <c r="BY31" s="63"/>
      <c r="BZ31" s="63"/>
      <c r="CA31" s="64"/>
      <c r="CB31" s="64"/>
      <c r="CC31" s="64"/>
      <c r="CD31" s="64"/>
      <c r="CE31" s="64"/>
      <c r="CF31" s="64"/>
      <c r="CG31" s="64"/>
      <c r="CH31" s="63"/>
      <c r="CI31" s="63"/>
      <c r="CJ31" s="63"/>
      <c r="CK31" s="63"/>
      <c r="CL31" s="63"/>
      <c r="CM31" s="63"/>
      <c r="CN31" s="63"/>
      <c r="CO31" s="64"/>
      <c r="CP31" s="64"/>
      <c r="CQ31" s="64"/>
      <c r="CR31" s="64"/>
      <c r="CS31" s="64"/>
      <c r="CT31" s="64"/>
      <c r="CU31" s="64"/>
      <c r="CV31" s="63"/>
      <c r="CW31" s="63"/>
      <c r="CX31" s="63"/>
      <c r="CY31" s="63"/>
      <c r="CZ31" s="63"/>
      <c r="DA31" s="63"/>
      <c r="DB31" s="63"/>
      <c r="DC31" s="64"/>
      <c r="DD31" s="64"/>
      <c r="DE31" s="64"/>
      <c r="DF31" s="64"/>
      <c r="DG31" s="64"/>
      <c r="DH31" s="64"/>
      <c r="DI31" s="64"/>
      <c r="DJ31" s="63"/>
      <c r="DK31" s="63"/>
      <c r="DL31" s="63"/>
      <c r="DM31" s="63"/>
      <c r="DN31" s="63"/>
      <c r="DO31" s="63"/>
      <c r="DP31" s="63"/>
      <c r="DQ31" s="64"/>
      <c r="DR31" s="64"/>
      <c r="DS31" s="64"/>
      <c r="DT31" s="64"/>
      <c r="DU31" s="64"/>
      <c r="DV31" s="64"/>
      <c r="DW31" s="64"/>
      <c r="DX31" s="63"/>
      <c r="DY31" s="63"/>
      <c r="DZ31" s="63"/>
      <c r="EA31" s="63"/>
      <c r="EB31" s="63"/>
      <c r="EC31" s="63"/>
      <c r="ED31" s="63"/>
      <c r="EE31" s="64"/>
      <c r="EF31" s="64"/>
      <c r="EG31" s="64"/>
      <c r="EH31" s="64"/>
      <c r="EI31" s="64"/>
      <c r="EJ31" s="64"/>
      <c r="EK31" s="64"/>
      <c r="EL31" s="63"/>
      <c r="EM31" s="63"/>
      <c r="EN31" s="63"/>
      <c r="EO31" s="63"/>
      <c r="EP31" s="63"/>
      <c r="EQ31" s="63"/>
      <c r="ER31" s="63"/>
      <c r="ES31" s="64"/>
      <c r="ET31" s="64"/>
      <c r="EU31" s="64"/>
      <c r="EV31" s="64"/>
      <c r="EW31" s="64"/>
      <c r="EX31" s="64"/>
      <c r="EY31" s="64"/>
      <c r="EZ31" s="63"/>
      <c r="FA31" s="63"/>
      <c r="FB31" s="63"/>
      <c r="FC31" s="63"/>
      <c r="FD31" s="63"/>
      <c r="FE31" s="63"/>
      <c r="FF31" s="63"/>
      <c r="FG31" s="64"/>
      <c r="FH31" s="64"/>
      <c r="FI31" s="64"/>
      <c r="FJ31" s="64"/>
      <c r="FK31" s="64"/>
      <c r="FL31" s="64"/>
      <c r="FM31" s="64"/>
      <c r="FN31" s="63"/>
      <c r="FO31" s="63"/>
      <c r="FP31" s="63"/>
      <c r="FQ31" s="63"/>
      <c r="FR31" s="63"/>
      <c r="FS31" s="63"/>
      <c r="FT31" s="63"/>
      <c r="FU31" s="64"/>
      <c r="FV31" s="64"/>
      <c r="FW31" s="64"/>
      <c r="FX31" s="64"/>
      <c r="FY31" s="64"/>
      <c r="FZ31" s="64"/>
      <c r="GA31" s="64"/>
      <c r="GB31" s="63"/>
      <c r="GC31" s="63"/>
      <c r="GD31" s="63"/>
      <c r="GE31" s="63"/>
      <c r="GF31" s="63"/>
      <c r="GG31" s="63"/>
      <c r="GH31" s="63"/>
      <c r="GI31" s="64"/>
      <c r="GJ31" s="64"/>
      <c r="GK31" s="64"/>
      <c r="GL31" s="64"/>
      <c r="GM31" s="64"/>
      <c r="GN31" s="64"/>
      <c r="GO31" s="64"/>
      <c r="GP31" s="63"/>
      <c r="GQ31" s="63"/>
      <c r="GR31" s="63"/>
      <c r="GS31" s="63"/>
      <c r="GT31" s="63"/>
      <c r="GU31" s="63"/>
      <c r="GV31" s="63"/>
      <c r="GW31" s="64"/>
      <c r="GX31" s="64"/>
      <c r="GY31" s="64"/>
      <c r="GZ31" s="64"/>
      <c r="HA31" s="64"/>
      <c r="HB31" s="64"/>
      <c r="HC31" s="64"/>
      <c r="HD31" s="63"/>
      <c r="HE31" s="63"/>
      <c r="HF31" s="63"/>
      <c r="HG31" s="63"/>
      <c r="HH31" s="63"/>
      <c r="HI31" s="63"/>
      <c r="HJ31" s="63"/>
      <c r="HK31" s="65" t="n">
        <f aca="false">COUNTIF(B31:HJ31,"A")</f>
        <v>0</v>
      </c>
      <c r="HL31" s="66" t="n">
        <f aca="false">COUNTIF(B31:HJ31,"O")</f>
        <v>0</v>
      </c>
      <c r="HM31" s="67" t="n">
        <f aca="false">COUNTIF(B31:HJ31,"D")</f>
        <v>0</v>
      </c>
      <c r="HN31" s="68" t="n">
        <f aca="false">COUNTIF(B31:HJ31,"N/A")</f>
        <v>0</v>
      </c>
      <c r="HO31" s="69" t="n">
        <f aca="false">IFERROR((HK31+HL31)/(HK31+HL31+HM31),0)</f>
        <v>0</v>
      </c>
    </row>
    <row r="32" customFormat="false" ht="15.75" hidden="false" customHeight="true" outlineLevel="0" collapsed="false">
      <c r="A32" s="62" t="n">
        <f aca="false">Roster!B32</f>
        <v>0</v>
      </c>
      <c r="B32" s="63"/>
      <c r="C32" s="63"/>
      <c r="D32" s="63"/>
      <c r="E32" s="63"/>
      <c r="F32" s="63"/>
      <c r="G32" s="63"/>
      <c r="H32" s="63"/>
      <c r="I32" s="64"/>
      <c r="J32" s="64"/>
      <c r="K32" s="64"/>
      <c r="L32" s="64"/>
      <c r="M32" s="64"/>
      <c r="N32" s="64"/>
      <c r="O32" s="64"/>
      <c r="P32" s="63"/>
      <c r="Q32" s="63"/>
      <c r="R32" s="63"/>
      <c r="S32" s="63"/>
      <c r="T32" s="63"/>
      <c r="U32" s="63"/>
      <c r="V32" s="63"/>
      <c r="W32" s="64"/>
      <c r="X32" s="64"/>
      <c r="Y32" s="64"/>
      <c r="Z32" s="64"/>
      <c r="AA32" s="64"/>
      <c r="AB32" s="64"/>
      <c r="AC32" s="64"/>
      <c r="AD32" s="63"/>
      <c r="AE32" s="63"/>
      <c r="AF32" s="63"/>
      <c r="AG32" s="63"/>
      <c r="AH32" s="63"/>
      <c r="AI32" s="63"/>
      <c r="AJ32" s="63"/>
      <c r="AK32" s="64"/>
      <c r="AL32" s="64"/>
      <c r="AM32" s="64"/>
      <c r="AN32" s="64"/>
      <c r="AO32" s="64"/>
      <c r="AP32" s="64"/>
      <c r="AQ32" s="64"/>
      <c r="AR32" s="63"/>
      <c r="AS32" s="63"/>
      <c r="AT32" s="63"/>
      <c r="AU32" s="63"/>
      <c r="AV32" s="63"/>
      <c r="AW32" s="63"/>
      <c r="AX32" s="63"/>
      <c r="AY32" s="64"/>
      <c r="AZ32" s="64"/>
      <c r="BA32" s="64"/>
      <c r="BB32" s="64"/>
      <c r="BC32" s="64"/>
      <c r="BD32" s="64"/>
      <c r="BE32" s="64"/>
      <c r="BF32" s="63"/>
      <c r="BG32" s="63"/>
      <c r="BH32" s="63"/>
      <c r="BI32" s="63"/>
      <c r="BJ32" s="63"/>
      <c r="BK32" s="63"/>
      <c r="BL32" s="63"/>
      <c r="BM32" s="64"/>
      <c r="BN32" s="64"/>
      <c r="BO32" s="64"/>
      <c r="BP32" s="64"/>
      <c r="BQ32" s="64"/>
      <c r="BR32" s="64"/>
      <c r="BS32" s="64"/>
      <c r="BT32" s="63"/>
      <c r="BU32" s="63"/>
      <c r="BV32" s="63"/>
      <c r="BW32" s="63"/>
      <c r="BX32" s="63"/>
      <c r="BY32" s="63"/>
      <c r="BZ32" s="63"/>
      <c r="CA32" s="64"/>
      <c r="CB32" s="64"/>
      <c r="CC32" s="64"/>
      <c r="CD32" s="64"/>
      <c r="CE32" s="64"/>
      <c r="CF32" s="64"/>
      <c r="CG32" s="64"/>
      <c r="CH32" s="63"/>
      <c r="CI32" s="63"/>
      <c r="CJ32" s="63"/>
      <c r="CK32" s="63"/>
      <c r="CL32" s="63"/>
      <c r="CM32" s="63"/>
      <c r="CN32" s="63"/>
      <c r="CO32" s="64"/>
      <c r="CP32" s="64"/>
      <c r="CQ32" s="64"/>
      <c r="CR32" s="64"/>
      <c r="CS32" s="64"/>
      <c r="CT32" s="64"/>
      <c r="CU32" s="64"/>
      <c r="CV32" s="63"/>
      <c r="CW32" s="63"/>
      <c r="CX32" s="63"/>
      <c r="CY32" s="63"/>
      <c r="CZ32" s="63"/>
      <c r="DA32" s="63"/>
      <c r="DB32" s="63"/>
      <c r="DC32" s="64"/>
      <c r="DD32" s="64"/>
      <c r="DE32" s="64"/>
      <c r="DF32" s="64"/>
      <c r="DG32" s="64"/>
      <c r="DH32" s="64"/>
      <c r="DI32" s="64"/>
      <c r="DJ32" s="63"/>
      <c r="DK32" s="63"/>
      <c r="DL32" s="63"/>
      <c r="DM32" s="63"/>
      <c r="DN32" s="63"/>
      <c r="DO32" s="63"/>
      <c r="DP32" s="63"/>
      <c r="DQ32" s="64"/>
      <c r="DR32" s="64"/>
      <c r="DS32" s="64"/>
      <c r="DT32" s="64"/>
      <c r="DU32" s="64"/>
      <c r="DV32" s="64"/>
      <c r="DW32" s="64"/>
      <c r="DX32" s="63"/>
      <c r="DY32" s="63"/>
      <c r="DZ32" s="63"/>
      <c r="EA32" s="63"/>
      <c r="EB32" s="63"/>
      <c r="EC32" s="63"/>
      <c r="ED32" s="63"/>
      <c r="EE32" s="64"/>
      <c r="EF32" s="64"/>
      <c r="EG32" s="64"/>
      <c r="EH32" s="64"/>
      <c r="EI32" s="64"/>
      <c r="EJ32" s="64"/>
      <c r="EK32" s="64"/>
      <c r="EL32" s="63"/>
      <c r="EM32" s="63"/>
      <c r="EN32" s="63"/>
      <c r="EO32" s="63"/>
      <c r="EP32" s="63"/>
      <c r="EQ32" s="63"/>
      <c r="ER32" s="63"/>
      <c r="ES32" s="64"/>
      <c r="ET32" s="64"/>
      <c r="EU32" s="64"/>
      <c r="EV32" s="64"/>
      <c r="EW32" s="64"/>
      <c r="EX32" s="64"/>
      <c r="EY32" s="64"/>
      <c r="EZ32" s="63"/>
      <c r="FA32" s="63"/>
      <c r="FB32" s="63"/>
      <c r="FC32" s="63"/>
      <c r="FD32" s="63"/>
      <c r="FE32" s="63"/>
      <c r="FF32" s="63"/>
      <c r="FG32" s="64"/>
      <c r="FH32" s="64"/>
      <c r="FI32" s="64"/>
      <c r="FJ32" s="64"/>
      <c r="FK32" s="64"/>
      <c r="FL32" s="64"/>
      <c r="FM32" s="64"/>
      <c r="FN32" s="63"/>
      <c r="FO32" s="63"/>
      <c r="FP32" s="63"/>
      <c r="FQ32" s="63"/>
      <c r="FR32" s="63"/>
      <c r="FS32" s="63"/>
      <c r="FT32" s="63"/>
      <c r="FU32" s="64"/>
      <c r="FV32" s="64"/>
      <c r="FW32" s="64"/>
      <c r="FX32" s="64"/>
      <c r="FY32" s="64"/>
      <c r="FZ32" s="64"/>
      <c r="GA32" s="64"/>
      <c r="GB32" s="63"/>
      <c r="GC32" s="63"/>
      <c r="GD32" s="63"/>
      <c r="GE32" s="63"/>
      <c r="GF32" s="63"/>
      <c r="GG32" s="63"/>
      <c r="GH32" s="63"/>
      <c r="GI32" s="64"/>
      <c r="GJ32" s="64"/>
      <c r="GK32" s="64"/>
      <c r="GL32" s="64"/>
      <c r="GM32" s="64"/>
      <c r="GN32" s="64"/>
      <c r="GO32" s="64"/>
      <c r="GP32" s="63"/>
      <c r="GQ32" s="63"/>
      <c r="GR32" s="63"/>
      <c r="GS32" s="63"/>
      <c r="GT32" s="63"/>
      <c r="GU32" s="63"/>
      <c r="GV32" s="63"/>
      <c r="GW32" s="64"/>
      <c r="GX32" s="64"/>
      <c r="GY32" s="64"/>
      <c r="GZ32" s="64"/>
      <c r="HA32" s="64"/>
      <c r="HB32" s="64"/>
      <c r="HC32" s="64"/>
      <c r="HD32" s="63"/>
      <c r="HE32" s="63"/>
      <c r="HF32" s="63"/>
      <c r="HG32" s="63"/>
      <c r="HH32" s="63"/>
      <c r="HI32" s="63"/>
      <c r="HJ32" s="63"/>
      <c r="HK32" s="65" t="n">
        <f aca="false">COUNTIF(B32:HJ32,"A")</f>
        <v>0</v>
      </c>
      <c r="HL32" s="66" t="n">
        <f aca="false">COUNTIF(B32:HJ32,"O")</f>
        <v>0</v>
      </c>
      <c r="HM32" s="67" t="n">
        <f aca="false">COUNTIF(B32:HJ32,"D")</f>
        <v>0</v>
      </c>
      <c r="HN32" s="68" t="n">
        <f aca="false">COUNTIF(B32:HJ32,"N/A")</f>
        <v>0</v>
      </c>
      <c r="HO32" s="69" t="n">
        <f aca="false">IFERROR((HK32+HL32)/(HK32+HL32+HM32),0)</f>
        <v>0</v>
      </c>
    </row>
    <row r="33" customFormat="false" ht="15.75" hidden="false" customHeight="true" outlineLevel="0" collapsed="false">
      <c r="A33" s="62" t="n">
        <f aca="false">Roster!B33</f>
        <v>0</v>
      </c>
      <c r="B33" s="63"/>
      <c r="C33" s="63"/>
      <c r="D33" s="63"/>
      <c r="E33" s="63"/>
      <c r="F33" s="63"/>
      <c r="G33" s="63"/>
      <c r="H33" s="63"/>
      <c r="I33" s="64"/>
      <c r="J33" s="64"/>
      <c r="K33" s="64"/>
      <c r="L33" s="64"/>
      <c r="M33" s="64"/>
      <c r="N33" s="64"/>
      <c r="O33" s="64"/>
      <c r="P33" s="63"/>
      <c r="Q33" s="63"/>
      <c r="R33" s="63"/>
      <c r="S33" s="63"/>
      <c r="T33" s="63"/>
      <c r="U33" s="63"/>
      <c r="V33" s="63"/>
      <c r="W33" s="64"/>
      <c r="X33" s="64"/>
      <c r="Y33" s="64"/>
      <c r="Z33" s="64"/>
      <c r="AA33" s="64"/>
      <c r="AB33" s="64"/>
      <c r="AC33" s="64"/>
      <c r="AD33" s="63"/>
      <c r="AE33" s="63"/>
      <c r="AF33" s="63"/>
      <c r="AG33" s="63"/>
      <c r="AH33" s="63"/>
      <c r="AI33" s="63"/>
      <c r="AJ33" s="63"/>
      <c r="AK33" s="64"/>
      <c r="AL33" s="64"/>
      <c r="AM33" s="64"/>
      <c r="AN33" s="64"/>
      <c r="AO33" s="64"/>
      <c r="AP33" s="64"/>
      <c r="AQ33" s="64"/>
      <c r="AR33" s="63"/>
      <c r="AS33" s="63"/>
      <c r="AT33" s="63"/>
      <c r="AU33" s="63"/>
      <c r="AV33" s="63"/>
      <c r="AW33" s="63"/>
      <c r="AX33" s="63"/>
      <c r="AY33" s="64"/>
      <c r="AZ33" s="64"/>
      <c r="BA33" s="64"/>
      <c r="BB33" s="64"/>
      <c r="BC33" s="64"/>
      <c r="BD33" s="64"/>
      <c r="BE33" s="64"/>
      <c r="BF33" s="63"/>
      <c r="BG33" s="63"/>
      <c r="BH33" s="63"/>
      <c r="BI33" s="63"/>
      <c r="BJ33" s="63"/>
      <c r="BK33" s="63"/>
      <c r="BL33" s="63"/>
      <c r="BM33" s="64"/>
      <c r="BN33" s="64"/>
      <c r="BO33" s="64"/>
      <c r="BP33" s="64"/>
      <c r="BQ33" s="64"/>
      <c r="BR33" s="64"/>
      <c r="BS33" s="64"/>
      <c r="BT33" s="63"/>
      <c r="BU33" s="63"/>
      <c r="BV33" s="63"/>
      <c r="BW33" s="63"/>
      <c r="BX33" s="63"/>
      <c r="BY33" s="63"/>
      <c r="BZ33" s="63"/>
      <c r="CA33" s="64"/>
      <c r="CB33" s="64"/>
      <c r="CC33" s="64"/>
      <c r="CD33" s="64"/>
      <c r="CE33" s="64"/>
      <c r="CF33" s="64"/>
      <c r="CG33" s="64"/>
      <c r="CH33" s="63"/>
      <c r="CI33" s="63"/>
      <c r="CJ33" s="63"/>
      <c r="CK33" s="63"/>
      <c r="CL33" s="63"/>
      <c r="CM33" s="63"/>
      <c r="CN33" s="63"/>
      <c r="CO33" s="64"/>
      <c r="CP33" s="64"/>
      <c r="CQ33" s="64"/>
      <c r="CR33" s="64"/>
      <c r="CS33" s="64"/>
      <c r="CT33" s="64"/>
      <c r="CU33" s="64"/>
      <c r="CV33" s="63"/>
      <c r="CW33" s="63"/>
      <c r="CX33" s="63"/>
      <c r="CY33" s="63"/>
      <c r="CZ33" s="63"/>
      <c r="DA33" s="63"/>
      <c r="DB33" s="63"/>
      <c r="DC33" s="64"/>
      <c r="DD33" s="64"/>
      <c r="DE33" s="64"/>
      <c r="DF33" s="64"/>
      <c r="DG33" s="64"/>
      <c r="DH33" s="64"/>
      <c r="DI33" s="64"/>
      <c r="DJ33" s="63"/>
      <c r="DK33" s="63"/>
      <c r="DL33" s="63"/>
      <c r="DM33" s="63"/>
      <c r="DN33" s="63"/>
      <c r="DO33" s="63"/>
      <c r="DP33" s="63"/>
      <c r="DQ33" s="64"/>
      <c r="DR33" s="64"/>
      <c r="DS33" s="64"/>
      <c r="DT33" s="64"/>
      <c r="DU33" s="64"/>
      <c r="DV33" s="64"/>
      <c r="DW33" s="64"/>
      <c r="DX33" s="63"/>
      <c r="DY33" s="63"/>
      <c r="DZ33" s="63"/>
      <c r="EA33" s="63"/>
      <c r="EB33" s="63"/>
      <c r="EC33" s="63"/>
      <c r="ED33" s="63"/>
      <c r="EE33" s="64"/>
      <c r="EF33" s="64"/>
      <c r="EG33" s="64"/>
      <c r="EH33" s="64"/>
      <c r="EI33" s="64"/>
      <c r="EJ33" s="64"/>
      <c r="EK33" s="64"/>
      <c r="EL33" s="63"/>
      <c r="EM33" s="63"/>
      <c r="EN33" s="63"/>
      <c r="EO33" s="63"/>
      <c r="EP33" s="63"/>
      <c r="EQ33" s="63"/>
      <c r="ER33" s="63"/>
      <c r="ES33" s="64"/>
      <c r="ET33" s="64"/>
      <c r="EU33" s="64"/>
      <c r="EV33" s="64"/>
      <c r="EW33" s="64"/>
      <c r="EX33" s="64"/>
      <c r="EY33" s="64"/>
      <c r="EZ33" s="63"/>
      <c r="FA33" s="63"/>
      <c r="FB33" s="63"/>
      <c r="FC33" s="63"/>
      <c r="FD33" s="63"/>
      <c r="FE33" s="63"/>
      <c r="FF33" s="63"/>
      <c r="FG33" s="64"/>
      <c r="FH33" s="64"/>
      <c r="FI33" s="64"/>
      <c r="FJ33" s="64"/>
      <c r="FK33" s="64"/>
      <c r="FL33" s="64"/>
      <c r="FM33" s="64"/>
      <c r="FN33" s="63"/>
      <c r="FO33" s="63"/>
      <c r="FP33" s="63"/>
      <c r="FQ33" s="63"/>
      <c r="FR33" s="63"/>
      <c r="FS33" s="63"/>
      <c r="FT33" s="63"/>
      <c r="FU33" s="64"/>
      <c r="FV33" s="64"/>
      <c r="FW33" s="64"/>
      <c r="FX33" s="64"/>
      <c r="FY33" s="64"/>
      <c r="FZ33" s="64"/>
      <c r="GA33" s="64"/>
      <c r="GB33" s="63"/>
      <c r="GC33" s="63"/>
      <c r="GD33" s="63"/>
      <c r="GE33" s="63"/>
      <c r="GF33" s="63"/>
      <c r="GG33" s="63"/>
      <c r="GH33" s="63"/>
      <c r="GI33" s="64"/>
      <c r="GJ33" s="64"/>
      <c r="GK33" s="64"/>
      <c r="GL33" s="64"/>
      <c r="GM33" s="64"/>
      <c r="GN33" s="64"/>
      <c r="GO33" s="64"/>
      <c r="GP33" s="63"/>
      <c r="GQ33" s="63"/>
      <c r="GR33" s="63"/>
      <c r="GS33" s="63"/>
      <c r="GT33" s="63"/>
      <c r="GU33" s="63"/>
      <c r="GV33" s="63"/>
      <c r="GW33" s="64"/>
      <c r="GX33" s="64"/>
      <c r="GY33" s="64"/>
      <c r="GZ33" s="64"/>
      <c r="HA33" s="64"/>
      <c r="HB33" s="64"/>
      <c r="HC33" s="64"/>
      <c r="HD33" s="63"/>
      <c r="HE33" s="63"/>
      <c r="HF33" s="63"/>
      <c r="HG33" s="63"/>
      <c r="HH33" s="63"/>
      <c r="HI33" s="63"/>
      <c r="HJ33" s="63"/>
      <c r="HK33" s="65" t="n">
        <f aca="false">COUNTIF(B33:HJ33,"A")</f>
        <v>0</v>
      </c>
      <c r="HL33" s="66" t="n">
        <f aca="false">COUNTIF(B33:HJ33,"O")</f>
        <v>0</v>
      </c>
      <c r="HM33" s="67" t="n">
        <f aca="false">COUNTIF(B33:HJ33,"D")</f>
        <v>0</v>
      </c>
      <c r="HN33" s="68" t="n">
        <f aca="false">COUNTIF(B33:HJ33,"N/A")</f>
        <v>0</v>
      </c>
      <c r="HO33" s="69" t="n">
        <f aca="false">IFERROR((HK33+HL33)/(HK33+HL33+HM33),0)</f>
        <v>0</v>
      </c>
    </row>
    <row r="34" customFormat="false" ht="15.75" hidden="false" customHeight="true" outlineLevel="0" collapsed="false">
      <c r="A34" s="62" t="n">
        <f aca="false">Roster!B34</f>
        <v>0</v>
      </c>
      <c r="B34" s="63"/>
      <c r="C34" s="63"/>
      <c r="D34" s="63"/>
      <c r="E34" s="63"/>
      <c r="F34" s="63"/>
      <c r="G34" s="63"/>
      <c r="H34" s="63"/>
      <c r="I34" s="64"/>
      <c r="J34" s="64"/>
      <c r="K34" s="64"/>
      <c r="L34" s="64"/>
      <c r="M34" s="64"/>
      <c r="N34" s="64"/>
      <c r="O34" s="64"/>
      <c r="P34" s="63"/>
      <c r="Q34" s="63"/>
      <c r="R34" s="63"/>
      <c r="S34" s="63"/>
      <c r="T34" s="63"/>
      <c r="U34" s="63"/>
      <c r="V34" s="63"/>
      <c r="W34" s="64"/>
      <c r="X34" s="64"/>
      <c r="Y34" s="64"/>
      <c r="Z34" s="64"/>
      <c r="AA34" s="64"/>
      <c r="AB34" s="64"/>
      <c r="AC34" s="64"/>
      <c r="AD34" s="63"/>
      <c r="AE34" s="63"/>
      <c r="AF34" s="63"/>
      <c r="AG34" s="63"/>
      <c r="AH34" s="63"/>
      <c r="AI34" s="63"/>
      <c r="AJ34" s="63"/>
      <c r="AK34" s="64"/>
      <c r="AL34" s="64"/>
      <c r="AM34" s="64"/>
      <c r="AN34" s="64"/>
      <c r="AO34" s="64"/>
      <c r="AP34" s="64"/>
      <c r="AQ34" s="64"/>
      <c r="AR34" s="63"/>
      <c r="AS34" s="63"/>
      <c r="AT34" s="63"/>
      <c r="AU34" s="63"/>
      <c r="AV34" s="63"/>
      <c r="AW34" s="63"/>
      <c r="AX34" s="63"/>
      <c r="AY34" s="64"/>
      <c r="AZ34" s="64"/>
      <c r="BA34" s="64"/>
      <c r="BB34" s="64"/>
      <c r="BC34" s="64"/>
      <c r="BD34" s="64"/>
      <c r="BE34" s="64"/>
      <c r="BF34" s="63"/>
      <c r="BG34" s="63"/>
      <c r="BH34" s="63"/>
      <c r="BI34" s="63"/>
      <c r="BJ34" s="63"/>
      <c r="BK34" s="63"/>
      <c r="BL34" s="63"/>
      <c r="BM34" s="64"/>
      <c r="BN34" s="64"/>
      <c r="BO34" s="64"/>
      <c r="BP34" s="64"/>
      <c r="BQ34" s="64"/>
      <c r="BR34" s="64"/>
      <c r="BS34" s="64"/>
      <c r="BT34" s="63"/>
      <c r="BU34" s="63"/>
      <c r="BV34" s="63"/>
      <c r="BW34" s="63"/>
      <c r="BX34" s="63"/>
      <c r="BY34" s="63"/>
      <c r="BZ34" s="63"/>
      <c r="CA34" s="64"/>
      <c r="CB34" s="64"/>
      <c r="CC34" s="64"/>
      <c r="CD34" s="64"/>
      <c r="CE34" s="64"/>
      <c r="CF34" s="64"/>
      <c r="CG34" s="64"/>
      <c r="CH34" s="63"/>
      <c r="CI34" s="63"/>
      <c r="CJ34" s="63"/>
      <c r="CK34" s="63"/>
      <c r="CL34" s="63"/>
      <c r="CM34" s="63"/>
      <c r="CN34" s="63"/>
      <c r="CO34" s="64"/>
      <c r="CP34" s="64"/>
      <c r="CQ34" s="64"/>
      <c r="CR34" s="64"/>
      <c r="CS34" s="64"/>
      <c r="CT34" s="64"/>
      <c r="CU34" s="64"/>
      <c r="CV34" s="63"/>
      <c r="CW34" s="63"/>
      <c r="CX34" s="63"/>
      <c r="CY34" s="63"/>
      <c r="CZ34" s="63"/>
      <c r="DA34" s="63"/>
      <c r="DB34" s="63"/>
      <c r="DC34" s="64"/>
      <c r="DD34" s="64"/>
      <c r="DE34" s="64"/>
      <c r="DF34" s="64"/>
      <c r="DG34" s="64"/>
      <c r="DH34" s="64"/>
      <c r="DI34" s="64"/>
      <c r="DJ34" s="63"/>
      <c r="DK34" s="63"/>
      <c r="DL34" s="63"/>
      <c r="DM34" s="63"/>
      <c r="DN34" s="63"/>
      <c r="DO34" s="63"/>
      <c r="DP34" s="63"/>
      <c r="DQ34" s="64"/>
      <c r="DR34" s="64"/>
      <c r="DS34" s="64"/>
      <c r="DT34" s="64"/>
      <c r="DU34" s="64"/>
      <c r="DV34" s="64"/>
      <c r="DW34" s="64"/>
      <c r="DX34" s="63"/>
      <c r="DY34" s="63"/>
      <c r="DZ34" s="63"/>
      <c r="EA34" s="63"/>
      <c r="EB34" s="63"/>
      <c r="EC34" s="63"/>
      <c r="ED34" s="63"/>
      <c r="EE34" s="64"/>
      <c r="EF34" s="64"/>
      <c r="EG34" s="64"/>
      <c r="EH34" s="64"/>
      <c r="EI34" s="64"/>
      <c r="EJ34" s="64"/>
      <c r="EK34" s="64"/>
      <c r="EL34" s="63"/>
      <c r="EM34" s="63"/>
      <c r="EN34" s="63"/>
      <c r="EO34" s="63"/>
      <c r="EP34" s="63"/>
      <c r="EQ34" s="63"/>
      <c r="ER34" s="63"/>
      <c r="ES34" s="64"/>
      <c r="ET34" s="64"/>
      <c r="EU34" s="64"/>
      <c r="EV34" s="64"/>
      <c r="EW34" s="64"/>
      <c r="EX34" s="64"/>
      <c r="EY34" s="64"/>
      <c r="EZ34" s="63"/>
      <c r="FA34" s="63"/>
      <c r="FB34" s="63"/>
      <c r="FC34" s="63"/>
      <c r="FD34" s="63"/>
      <c r="FE34" s="63"/>
      <c r="FF34" s="63"/>
      <c r="FG34" s="64"/>
      <c r="FH34" s="64"/>
      <c r="FI34" s="64"/>
      <c r="FJ34" s="64"/>
      <c r="FK34" s="64"/>
      <c r="FL34" s="64"/>
      <c r="FM34" s="64"/>
      <c r="FN34" s="63"/>
      <c r="FO34" s="63"/>
      <c r="FP34" s="63"/>
      <c r="FQ34" s="63"/>
      <c r="FR34" s="63"/>
      <c r="FS34" s="63"/>
      <c r="FT34" s="63"/>
      <c r="FU34" s="64"/>
      <c r="FV34" s="64"/>
      <c r="FW34" s="64"/>
      <c r="FX34" s="64"/>
      <c r="FY34" s="64"/>
      <c r="FZ34" s="64"/>
      <c r="GA34" s="64"/>
      <c r="GB34" s="63"/>
      <c r="GC34" s="63"/>
      <c r="GD34" s="63"/>
      <c r="GE34" s="63"/>
      <c r="GF34" s="63"/>
      <c r="GG34" s="63"/>
      <c r="GH34" s="63"/>
      <c r="GI34" s="64"/>
      <c r="GJ34" s="64"/>
      <c r="GK34" s="64"/>
      <c r="GL34" s="64"/>
      <c r="GM34" s="64"/>
      <c r="GN34" s="64"/>
      <c r="GO34" s="64"/>
      <c r="GP34" s="63"/>
      <c r="GQ34" s="63"/>
      <c r="GR34" s="63"/>
      <c r="GS34" s="63"/>
      <c r="GT34" s="63"/>
      <c r="GU34" s="63"/>
      <c r="GV34" s="63"/>
      <c r="GW34" s="64"/>
      <c r="GX34" s="64"/>
      <c r="GY34" s="64"/>
      <c r="GZ34" s="64"/>
      <c r="HA34" s="64"/>
      <c r="HB34" s="64"/>
      <c r="HC34" s="64"/>
      <c r="HD34" s="63"/>
      <c r="HE34" s="63"/>
      <c r="HF34" s="63"/>
      <c r="HG34" s="63"/>
      <c r="HH34" s="63"/>
      <c r="HI34" s="63"/>
      <c r="HJ34" s="63"/>
      <c r="HK34" s="65" t="n">
        <f aca="false">COUNTIF(B34:HJ34,"A")</f>
        <v>0</v>
      </c>
      <c r="HL34" s="66" t="n">
        <f aca="false">COUNTIF(B34:HJ34,"O")</f>
        <v>0</v>
      </c>
      <c r="HM34" s="67" t="n">
        <f aca="false">COUNTIF(B34:HJ34,"D")</f>
        <v>0</v>
      </c>
      <c r="HN34" s="68" t="n">
        <f aca="false">COUNTIF(B34:HJ34,"N/A")</f>
        <v>0</v>
      </c>
      <c r="HO34" s="69" t="n">
        <f aca="false">IFERROR((HK34+HL34)/(HK34+HL34+HM34),0)</f>
        <v>0</v>
      </c>
    </row>
  </sheetData>
  <mergeCells count="39">
    <mergeCell ref="A1:G1"/>
    <mergeCell ref="A2:G2"/>
    <mergeCell ref="A3:A4"/>
    <mergeCell ref="B3:H3"/>
    <mergeCell ref="I3:O3"/>
    <mergeCell ref="P3:V3"/>
    <mergeCell ref="W3:AC3"/>
    <mergeCell ref="AD3:AJ3"/>
    <mergeCell ref="AK3:AQ3"/>
    <mergeCell ref="AR3:AX3"/>
    <mergeCell ref="AY3:BE3"/>
    <mergeCell ref="BF3:BL3"/>
    <mergeCell ref="BM3:BS3"/>
    <mergeCell ref="BT3:BZ3"/>
    <mergeCell ref="CA3:CG3"/>
    <mergeCell ref="CH3:CN3"/>
    <mergeCell ref="CO3:CU3"/>
    <mergeCell ref="CV3:DB3"/>
    <mergeCell ref="DC3:DI3"/>
    <mergeCell ref="DJ3:DP3"/>
    <mergeCell ref="DQ3:DW3"/>
    <mergeCell ref="DX3:ED3"/>
    <mergeCell ref="EE3:EK3"/>
    <mergeCell ref="EL3:ER3"/>
    <mergeCell ref="ES3:EY3"/>
    <mergeCell ref="EZ3:FF3"/>
    <mergeCell ref="FG3:FM3"/>
    <mergeCell ref="FN3:FT3"/>
    <mergeCell ref="FU3:GA3"/>
    <mergeCell ref="GB3:GH3"/>
    <mergeCell ref="GI3:GO3"/>
    <mergeCell ref="GP3:GV3"/>
    <mergeCell ref="GW3:HC3"/>
    <mergeCell ref="HD3:HJ3"/>
    <mergeCell ref="HK3:HK4"/>
    <mergeCell ref="HL3:HL4"/>
    <mergeCell ref="HM3:HM4"/>
    <mergeCell ref="HN3:HN4"/>
    <mergeCell ref="HO3:HO4"/>
  </mergeCells>
  <conditionalFormatting sqref="B5:HJ34">
    <cfRule type="cellIs" priority="2" operator="equal" aboveAverage="0" equalAverage="0" bottom="0" percent="0" rank="0" text="" dxfId="0">
      <formula>"A"</formula>
    </cfRule>
    <cfRule type="cellIs" priority="3" operator="equal" aboveAverage="0" equalAverage="0" bottom="0" percent="0" rank="0" text="" dxfId="1">
      <formula>"O"</formula>
    </cfRule>
    <cfRule type="cellIs" priority="4" operator="equal" aboveAverage="0" equalAverage="0" bottom="0" percent="0" rank="0" text="" dxfId="2">
      <formula>"D"</formula>
    </cfRule>
    <cfRule type="cellIs" priority="5" operator="equal" aboveAverage="0" equalAverage="0" bottom="0" percent="0" rank="0" text="" dxfId="3">
      <formula>"N/A"</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0"/>
    <col collapsed="false" customWidth="true" hidden="false" outlineLevel="0" max="2" min="2" style="0" width="22"/>
    <col collapsed="false" customWidth="true" hidden="false" outlineLevel="0" max="3" min="3" style="0" width="50"/>
    <col collapsed="false" customWidth="true" hidden="false" outlineLevel="0" max="4" min="4" style="0" width="28"/>
  </cols>
  <sheetData>
    <row r="1" customFormat="false" ht="25.5" hidden="false" customHeight="true" outlineLevel="0" collapsed="false">
      <c r="A1" s="36" t="s">
        <v>914</v>
      </c>
      <c r="B1" s="36"/>
      <c r="C1" s="36"/>
      <c r="D1" s="36"/>
    </row>
    <row r="3" customFormat="false" ht="15" hidden="false" customHeight="false" outlineLevel="0" collapsed="false">
      <c r="A3" s="72" t="s">
        <v>915</v>
      </c>
      <c r="B3" s="72"/>
      <c r="C3" s="72"/>
      <c r="D3" s="72"/>
    </row>
    <row r="4" customFormat="false" ht="15" hidden="false" customHeight="false" outlineLevel="0" collapsed="false">
      <c r="A4" s="44" t="s">
        <v>916</v>
      </c>
      <c r="B4" s="44" t="s">
        <v>917</v>
      </c>
      <c r="C4" s="44" t="s">
        <v>918</v>
      </c>
      <c r="D4" s="44" t="s">
        <v>849</v>
      </c>
    </row>
    <row r="5" customFormat="false" ht="15" hidden="false" customHeight="false" outlineLevel="0" collapsed="false">
      <c r="A5" s="73" t="s">
        <v>919</v>
      </c>
      <c r="B5" s="74" t="s">
        <v>920</v>
      </c>
      <c r="C5" s="74" t="s">
        <v>921</v>
      </c>
      <c r="D5" s="74"/>
    </row>
    <row r="6" customFormat="false" ht="15" hidden="false" customHeight="false" outlineLevel="0" collapsed="false">
      <c r="A6" s="73" t="s">
        <v>922</v>
      </c>
      <c r="B6" s="74" t="s">
        <v>923</v>
      </c>
      <c r="C6" s="74" t="s">
        <v>924</v>
      </c>
      <c r="D6" s="74"/>
    </row>
    <row r="7" customFormat="false" ht="15" hidden="false" customHeight="false" outlineLevel="0" collapsed="false">
      <c r="A7" s="73" t="s">
        <v>925</v>
      </c>
      <c r="B7" s="74" t="s">
        <v>926</v>
      </c>
      <c r="C7" s="74" t="s">
        <v>927</v>
      </c>
      <c r="D7" s="74"/>
    </row>
    <row r="8" customFormat="false" ht="15" hidden="false" customHeight="false" outlineLevel="0" collapsed="false">
      <c r="A8" s="73" t="s">
        <v>928</v>
      </c>
      <c r="B8" s="74" t="s">
        <v>929</v>
      </c>
      <c r="C8" s="74" t="s">
        <v>930</v>
      </c>
      <c r="D8" s="74"/>
    </row>
    <row r="9" customFormat="false" ht="15" hidden="false" customHeight="false" outlineLevel="0" collapsed="false">
      <c r="A9" s="73" t="s">
        <v>931</v>
      </c>
      <c r="B9" s="74" t="s">
        <v>932</v>
      </c>
      <c r="C9" s="74" t="s">
        <v>933</v>
      </c>
      <c r="D9" s="74"/>
    </row>
    <row r="10" customFormat="false" ht="15" hidden="false" customHeight="false" outlineLevel="0" collapsed="false">
      <c r="A10" s="73" t="s">
        <v>934</v>
      </c>
      <c r="B10" s="74" t="s">
        <v>935</v>
      </c>
      <c r="C10" s="74" t="s">
        <v>936</v>
      </c>
      <c r="D10" s="74"/>
    </row>
    <row r="11" customFormat="false" ht="15" hidden="false" customHeight="false" outlineLevel="0" collapsed="false">
      <c r="A11" s="73" t="s">
        <v>937</v>
      </c>
      <c r="B11" s="74" t="s">
        <v>938</v>
      </c>
      <c r="C11" s="74" t="s">
        <v>939</v>
      </c>
      <c r="D11" s="74"/>
    </row>
    <row r="12" customFormat="false" ht="15" hidden="false" customHeight="false" outlineLevel="0" collapsed="false">
      <c r="A12" s="73" t="s">
        <v>940</v>
      </c>
      <c r="B12" s="74" t="s">
        <v>941</v>
      </c>
      <c r="C12" s="74" t="s">
        <v>942</v>
      </c>
      <c r="D12" s="74"/>
    </row>
    <row r="13" customFormat="false" ht="15" hidden="false" customHeight="false" outlineLevel="0" collapsed="false">
      <c r="A13" s="73" t="s">
        <v>943</v>
      </c>
      <c r="B13" s="74" t="s">
        <v>944</v>
      </c>
      <c r="C13" s="74" t="s">
        <v>945</v>
      </c>
      <c r="D13" s="74"/>
    </row>
    <row r="14" customFormat="false" ht="15" hidden="false" customHeight="false" outlineLevel="0" collapsed="false">
      <c r="A14" s="73" t="s">
        <v>946</v>
      </c>
      <c r="B14" s="74" t="s">
        <v>947</v>
      </c>
      <c r="C14" s="74" t="s">
        <v>948</v>
      </c>
      <c r="D14" s="74"/>
    </row>
    <row r="15" customFormat="false" ht="15" hidden="false" customHeight="false" outlineLevel="0" collapsed="false">
      <c r="A15" s="73" t="s">
        <v>949</v>
      </c>
      <c r="B15" s="74" t="s">
        <v>950</v>
      </c>
      <c r="C15" s="74" t="s">
        <v>951</v>
      </c>
      <c r="D15" s="74"/>
    </row>
    <row r="16" customFormat="false" ht="15" hidden="false" customHeight="false" outlineLevel="0" collapsed="false">
      <c r="A16" s="73" t="s">
        <v>952</v>
      </c>
      <c r="B16" s="74" t="s">
        <v>953</v>
      </c>
      <c r="C16" s="74" t="s">
        <v>954</v>
      </c>
      <c r="D16" s="74"/>
    </row>
    <row r="17" customFormat="false" ht="15" hidden="false" customHeight="false" outlineLevel="0" collapsed="false">
      <c r="A17" s="73" t="s">
        <v>955</v>
      </c>
      <c r="B17" s="74" t="s">
        <v>956</v>
      </c>
      <c r="C17" s="74" t="s">
        <v>957</v>
      </c>
      <c r="D17" s="74"/>
    </row>
    <row r="18" customFormat="false" ht="15" hidden="false" customHeight="false" outlineLevel="0" collapsed="false">
      <c r="A18" s="73" t="s">
        <v>958</v>
      </c>
      <c r="B18" s="74" t="s">
        <v>959</v>
      </c>
      <c r="C18" s="74" t="s">
        <v>960</v>
      </c>
      <c r="D18" s="74"/>
    </row>
    <row r="19" customFormat="false" ht="15" hidden="false" customHeight="false" outlineLevel="0" collapsed="false">
      <c r="A19" s="73" t="s">
        <v>961</v>
      </c>
      <c r="B19" s="74" t="s">
        <v>962</v>
      </c>
      <c r="C19" s="74" t="s">
        <v>960</v>
      </c>
      <c r="D19" s="74"/>
    </row>
    <row r="20" customFormat="false" ht="15" hidden="false" customHeight="false" outlineLevel="0" collapsed="false">
      <c r="A20" s="73" t="s">
        <v>963</v>
      </c>
      <c r="B20" s="74" t="s">
        <v>964</v>
      </c>
      <c r="C20" s="74" t="s">
        <v>965</v>
      </c>
      <c r="D20" s="74"/>
    </row>
    <row r="23" customFormat="false" ht="15" hidden="false" customHeight="false" outlineLevel="0" collapsed="false">
      <c r="A23" s="72" t="s">
        <v>966</v>
      </c>
      <c r="B23" s="72"/>
      <c r="C23" s="72"/>
      <c r="D23" s="72"/>
    </row>
    <row r="24" customFormat="false" ht="15" hidden="false" customHeight="false" outlineLevel="0" collapsed="false">
      <c r="A24" s="75" t="s">
        <v>967</v>
      </c>
      <c r="B24" s="76" t="s">
        <v>968</v>
      </c>
      <c r="C24" s="76"/>
      <c r="D24" s="76"/>
    </row>
    <row r="25" customFormat="false" ht="15" hidden="false" customHeight="true" outlineLevel="0" collapsed="false">
      <c r="A25" s="77" t="s">
        <v>969</v>
      </c>
      <c r="B25" s="78" t="s">
        <v>970</v>
      </c>
      <c r="C25" s="78"/>
      <c r="D25" s="78"/>
    </row>
    <row r="26" customFormat="false" ht="15" hidden="false" customHeight="true" outlineLevel="0" collapsed="false">
      <c r="A26" s="77" t="s">
        <v>971</v>
      </c>
      <c r="B26" s="78" t="s">
        <v>972</v>
      </c>
      <c r="C26" s="78"/>
      <c r="D26" s="78"/>
    </row>
    <row r="27" customFormat="false" ht="15" hidden="false" customHeight="true" outlineLevel="0" collapsed="false">
      <c r="A27" s="77" t="s">
        <v>973</v>
      </c>
      <c r="B27" s="78" t="s">
        <v>974</v>
      </c>
      <c r="C27" s="78"/>
      <c r="D27" s="78"/>
    </row>
    <row r="28" customFormat="false" ht="15" hidden="false" customHeight="true" outlineLevel="0" collapsed="false">
      <c r="A28" s="77" t="s">
        <v>975</v>
      </c>
      <c r="B28" s="78" t="s">
        <v>976</v>
      </c>
      <c r="C28" s="78"/>
      <c r="D28" s="78"/>
    </row>
    <row r="29" customFormat="false" ht="15" hidden="false" customHeight="true" outlineLevel="0" collapsed="false">
      <c r="A29" s="77" t="s">
        <v>977</v>
      </c>
      <c r="B29" s="78" t="s">
        <v>978</v>
      </c>
      <c r="C29" s="78"/>
      <c r="D29" s="78"/>
    </row>
    <row r="30" customFormat="false" ht="15" hidden="false" customHeight="true" outlineLevel="0" collapsed="false">
      <c r="A30" s="77" t="s">
        <v>979</v>
      </c>
      <c r="B30" s="78" t="s">
        <v>980</v>
      </c>
      <c r="C30" s="78"/>
      <c r="D30" s="78"/>
    </row>
    <row r="31" customFormat="false" ht="15" hidden="false" customHeight="true" outlineLevel="0" collapsed="false">
      <c r="A31" s="77" t="s">
        <v>981</v>
      </c>
      <c r="B31" s="78" t="s">
        <v>982</v>
      </c>
      <c r="C31" s="78"/>
      <c r="D31" s="78"/>
    </row>
    <row r="32" customFormat="false" ht="15" hidden="false" customHeight="true" outlineLevel="0" collapsed="false">
      <c r="A32" s="77" t="s">
        <v>983</v>
      </c>
      <c r="B32" s="78" t="s">
        <v>984</v>
      </c>
      <c r="C32" s="78"/>
      <c r="D32" s="78"/>
    </row>
    <row r="33" customFormat="false" ht="15" hidden="false" customHeight="true" outlineLevel="0" collapsed="false">
      <c r="A33" s="77" t="s">
        <v>985</v>
      </c>
      <c r="B33" s="78" t="s">
        <v>986</v>
      </c>
      <c r="C33" s="78"/>
      <c r="D33" s="78"/>
    </row>
    <row r="34" customFormat="false" ht="15" hidden="false" customHeight="true" outlineLevel="0" collapsed="false">
      <c r="A34" s="77" t="s">
        <v>987</v>
      </c>
      <c r="B34" s="78" t="s">
        <v>988</v>
      </c>
      <c r="C34" s="78"/>
      <c r="D34" s="78"/>
    </row>
    <row r="35" customFormat="false" ht="15" hidden="false" customHeight="true" outlineLevel="0" collapsed="false">
      <c r="A35" s="77" t="s">
        <v>989</v>
      </c>
      <c r="B35" s="78" t="s">
        <v>990</v>
      </c>
      <c r="C35" s="78"/>
      <c r="D35" s="78"/>
    </row>
    <row r="36" customFormat="false" ht="15" hidden="false" customHeight="true" outlineLevel="0" collapsed="false">
      <c r="A36" s="77" t="s">
        <v>991</v>
      </c>
      <c r="B36" s="78" t="s">
        <v>992</v>
      </c>
      <c r="C36" s="78"/>
      <c r="D36" s="78"/>
    </row>
    <row r="37" customFormat="false" ht="15" hidden="false" customHeight="true" outlineLevel="0" collapsed="false">
      <c r="A37" s="77" t="s">
        <v>993</v>
      </c>
      <c r="B37" s="78" t="s">
        <v>994</v>
      </c>
      <c r="C37" s="78"/>
      <c r="D37" s="78"/>
    </row>
    <row r="38" customFormat="false" ht="15" hidden="false" customHeight="true" outlineLevel="0" collapsed="false">
      <c r="A38" s="77" t="s">
        <v>995</v>
      </c>
      <c r="B38" s="78" t="s">
        <v>996</v>
      </c>
      <c r="C38" s="78"/>
      <c r="D38" s="78"/>
    </row>
  </sheetData>
  <mergeCells count="18">
    <mergeCell ref="A1:D1"/>
    <mergeCell ref="A3:D3"/>
    <mergeCell ref="A23:D23"/>
    <mergeCell ref="B24:D24"/>
    <mergeCell ref="B25:D25"/>
    <mergeCell ref="B26:D26"/>
    <mergeCell ref="B27:D27"/>
    <mergeCell ref="B28:D28"/>
    <mergeCell ref="B29:D29"/>
    <mergeCell ref="B30:D30"/>
    <mergeCell ref="B31:D31"/>
    <mergeCell ref="B32:D32"/>
    <mergeCell ref="B33:D33"/>
    <mergeCell ref="B34:D34"/>
    <mergeCell ref="B35:D35"/>
    <mergeCell ref="B36:D36"/>
    <mergeCell ref="B37:D37"/>
    <mergeCell ref="B38:D38"/>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2026-05-02T11:43:34Z</dcterms:created>
  <dc:creator>openpyxl</dc:creator>
  <dc:description/>
  <dc:language>en-US</dc:language>
  <cp:lastModifiedBy/>
  <dcterms:modified xsi:type="dcterms:W3CDTF">2026-05-02T11:43:36Z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