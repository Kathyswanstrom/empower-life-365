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lendar - May 2026" sheetId="2" state="visible" r:id="rId4"/>
    <sheet name="Daily Activities" sheetId="3" state="visible" r:id="rId5"/>
    <sheet name="Bonus Events" sheetId="4" state="visible" r:id="rId6"/>
    <sheet name="Holidays" sheetId="5" state="visible" r:id="rId7"/>
    <sheet name="Roster" sheetId="6" state="visible" r:id="rId8"/>
    <sheet name="Charting" sheetId="7" state="visible" r:id="rId9"/>
    <sheet name="Word Games" sheetId="8" state="visible" r:id="rId10"/>
    <sheet name="Movies &amp; Games" sheetId="9" state="visible" r:id="rId11"/>
  </sheets>
  <definedNames>
    <definedName function="false" hidden="false" localSheetId="3" name="_xlnm.Print_Titles" vbProcedure="false">'Bonus Events'!$1:$4</definedName>
    <definedName function="false" hidden="false" localSheetId="6" name="_xlnm.Print_Titles" vbProcedure="false">Charting!$A:$A,Charting!$3:$4</definedName>
    <definedName function="false" hidden="false" localSheetId="2" name="_xlnm.Print_Titles" vbProcedure="false">'Daily Activities'!$1:$1</definedName>
    <definedName function="false" hidden="false" localSheetId="6" name="_xlnm.Print_Titles" vbProcedure="false">Charting!$3:$4,Charting!$A:$A</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<sst xmlns="http://schemas.openxmlformats.org/spreadsheetml/2006/main" count="1657" uniqueCount="705">
  <si>
    <t xml:space="preserve">ACTIVITY PROGRAM</t>
  </si>
  <si>
    <t xml:space="preserve">May 2026 - Spring in Bloom</t>
  </si>
  <si>
    <t xml:space="preserve">Anchor Care Consulting</t>
  </si>
  <si>
    <t xml:space="preserve">May celebrates spring at its peak: gardens bloom, family gathers for Mother's Day, and the country pauses on Memorial Day to remember those who served. Programming this month leans into flowers, picnics, derby fun, patriotic music, berry season, and warm weather socials.</t>
  </si>
  <si>
    <t xml:space="preserve">HOW TO USE THIS WORKBOOK</t>
  </si>
  <si>
    <t xml:space="preserve">Calendar - May 2026:  Visual at-a-glance grid of the whole month. Print landscape on letter paper for the bulletin board.</t>
  </si>
  <si>
    <t xml:space="preserve">Daily Activities:  The full day-by-day plan: every day's 5 activities (Exercise, Newspaper+Word Game, Afternoon, Supper, Evening) with descriptions, supplies, and level adaptations. This is the planning workhorse.</t>
  </si>
  <si>
    <t xml:space="preserve">Bonus Events:  The 6 special bigger events for the month - Kentucky Derby Watch Party, Cinco de Mayo Fiesta, Mother's Day Tea, Armed Forces Day, Memorial Day Cookout, Senior Health &amp; Fitness Fair. Each has supply lists.</t>
  </si>
  <si>
    <t xml:space="preserve">Holidays:  Quick reference: every 'fun' holiday tied to each day so you can plan future months the same way.</t>
  </si>
  <si>
    <t xml:space="preserve">Roster:  Replace the placeholder names with your actual residents. Names flow into the Charting tab.</t>
  </si>
  <si>
    <t xml:space="preserve">Charting:  Per-resident attendance and participation tracking. Each resident has a row, every day's 5 activities are columns. Use codes A (active) / O (observed) / D (declined) / N/A (not available). Counters at the bottom auto-tally.</t>
  </si>
  <si>
    <t xml:space="preserve">Word Games:  Reusable library of word games, anagrams, riddles, and trivia - pull from here when filling future months.</t>
  </si>
  <si>
    <t xml:space="preserve">Movies &amp; Games:  Reusable library of senior-appropriate movies (with ratings + runtimes) and group games.</t>
  </si>
  <si>
    <t xml:space="preserve">DAILY ACTIVITY SLOTS</t>
  </si>
  <si>
    <t xml:space="preserve">  • Morning Exercise Group  (9:30 - 10:00 AM) — Chair yoga, resistance bands, walking, dance movement</t>
  </si>
  <si>
    <t xml:space="preserve">  • Daily Newspaper + Word Game  (10:30 - 11:30 AM) — Read paper aloud + a word search, anagram, or trivia</t>
  </si>
  <si>
    <t xml:space="preserve">  • Afternoon Social or Game  (2:00 - 3:00 PM) — Bingo, crafts, themed parties, tastings, music</t>
  </si>
  <si>
    <t xml:space="preserve">  • Evening Word Puzzle at Supper  (5:30 - 6:30 PM) — Riddle, trivia card, or category game on each table</t>
  </si>
  <si>
    <t xml:space="preserve">  • Group Movie or Game  (6:30 - 8:00 PM) — Movie night, sing-along, charades, Wheel of Fortune</t>
  </si>
  <si>
    <t xml:space="preserve">LEVELS OF CARE - ALL ACTIVITIES INCLUDE ADAPTATIONS</t>
  </si>
  <si>
    <t xml:space="preserve">  • AL = Assisted Living - mostly independent residents</t>
  </si>
  <si>
    <t xml:space="preserve">  • MC = Memory Care - simplified, sensory-rich, repetition-friendly</t>
  </si>
  <si>
    <t xml:space="preserve">  • SN = Skilled Nursing / Long-Term Care - seated, gentle, often staff-assisted</t>
  </si>
  <si>
    <t xml:space="preserve">MAY 2026</t>
  </si>
  <si>
    <t xml:space="preserve">Spring in Bloom</t>
  </si>
  <si>
    <t xml:space="preserve">MONDAY</t>
  </si>
  <si>
    <t xml:space="preserve">TUESDAY</t>
  </si>
  <si>
    <t xml:space="preserve">WEDNESDAY</t>
  </si>
  <si>
    <t xml:space="preserve">THURSDAY</t>
  </si>
  <si>
    <t xml:space="preserve">FRIDAY</t>
  </si>
  <si>
    <t xml:space="preserve">SATURDAY</t>
  </si>
  <si>
    <t xml:space="preserve">SUNDAY</t>
  </si>
  <si>
    <t xml:space="preserve">1
May Day &amp; National Mother Goose Day</t>
  </si>
  <si>
    <t xml:space="preserve">2
Kentucky Derby Day (1st Saturday)</t>
  </si>
  <si>
    <t xml:space="preserve">3
National Garden Meditation Day</t>
  </si>
  <si>
    <t xml:space="preserve">AM: Chair Yoga: Spring Awakening
News: 'Welcome to May' Word Search
PM: May Basket Craft Social
Sup: Riddle of the Day
Eve: Movie Night: 'Driving Miss Daisy' (1989)</t>
  </si>
  <si>
    <t xml:space="preserve">AM: Derby Day Warm-Up
News: Sports Headlines + Famous Horses Trivia
PM: Make-Your-Own Derby Hat Workshop
Sup: Derby Trivia Cards on Tables
Eve: Kentucky Derby Watch Party - SEE BONUS EVENT (May 2)</t>
  </si>
  <si>
    <t xml:space="preserve">AM: Sunday Stretch &amp; Hymn Hour
News: Sunday Comics Read-Aloud + Garden Word List
PM: Garden Meditation &amp; Plant Potting
Sup: Limerick Read-Aloud (early intro for the 12th)
Eve: Hymn Sing-Along + Cards in Lounge</t>
  </si>
  <si>
    <t xml:space="preserve">4
Star Wars Day - 'May the 4th Be With You'</t>
  </si>
  <si>
    <t xml:space="preserve">5
Cinco de Mayo</t>
  </si>
  <si>
    <t xml:space="preserve">6
National Nurses Day &amp; National Beverage Day</t>
  </si>
  <si>
    <t xml:space="preserve">7
National Roast Leg of Lamb Day</t>
  </si>
  <si>
    <t xml:space="preserve">8
V-E Day (Victory in Europe, 1945) &amp; No Socks Day</t>
  </si>
  <si>
    <t xml:space="preserve">9
National Lost Sock Memorial Day &amp; National Train Day</t>
  </si>
  <si>
    <t xml:space="preserve">10
Mother's Day &amp; National Shrimp Day</t>
  </si>
  <si>
    <t xml:space="preserve">AM: Star Wars 'Jedi Training' Stretch
News: Front-Page News + Movie Trivia
PM: Galaxy Trivia &amp; Snack Social
Sup: Famous Movie Lines Match-Up
Eve: Movie Night: 'Cocoon' (1985)</t>
  </si>
  <si>
    <t xml:space="preserve">AM: Salsa Dance Movement (Seated)
News: Cinco de Mayo Word Search (Spanish-English)
PM: Cinco de Mayo Fiesta - SEE BONUS EVENT
Sup: 'Categories' Game at Tables
Eve: Group Game: Loteria (Mexican Bingo)</t>
  </si>
  <si>
    <t xml:space="preserve">AM: Resistance Band Workout: Strong Like a Nurse
News: Newspaper + 'Things My Mom/Nurse Said' Reminiscence
PM: Make-a-Card for Local Nursing Staff
Sup: Trivia Card: Beverages Around the World
Eve: Group Game: Wheel of Fortune (DIY)</t>
  </si>
  <si>
    <t xml:space="preserve">AM: Walking Club: Indoor Lap or Garden Stroll
News: Garden Section + Flower Crossword (Easy)
PM: Bingo!
Sup: Riddle: Spring Edition
Eve: Movie Night: 'On Golden Pond' (1981)</t>
  </si>
  <si>
    <t xml:space="preserve">AM: Dance Movement: Big Band Era
News: V-E Day History Read + 1940s Word Search
PM: Mother's Day Tea (Pre-Celebration) - SEE BONUS EVENT
Sup: Trivia: Decade Match
Eve: Sing-Along: 1940s Hit Parade</t>
  </si>
  <si>
    <t xml:space="preserve">AM: Marching Band Movement
News: Travel Section + Train Trivia
PM: Sock Hop &amp; Lost Sock Memorial
Sup: Travel Word Game
Eve: Movie Night: 'Strangers on a Train' (1951) [Light edit]</t>
  </si>
  <si>
    <t xml:space="preserve">AM: Sunday Gentle Stretch + Mom's Favorite Songs
News: Sunday Paper + 'Mom's Wisdom' Word List
PM: Mother's Day Tea Hour &amp; Family Visiting
Sup: Trivia: Famous Mothers in History
Eve: Movie Night: 'Steel Magnolias' (1989)</t>
  </si>
  <si>
    <t xml:space="preserve">11
National Eat What You Want Day</t>
  </si>
  <si>
    <t xml:space="preserve">12
International Nurses Day &amp; National Limerick Day</t>
  </si>
  <si>
    <t xml:space="preserve">13
National Apple Pie Day &amp; National Frog Jumping Day</t>
  </si>
  <si>
    <t xml:space="preserve">14
National Buttermilk Biscuit Day</t>
  </si>
  <si>
    <t xml:space="preserve">15
National Chocolate Chip Day</t>
  </si>
  <si>
    <t xml:space="preserve">16
Armed Forces Day (3rd Saturday) &amp; National BBQ Day</t>
  </si>
  <si>
    <t xml:space="preserve">17
National Walnut Day</t>
  </si>
  <si>
    <t xml:space="preserve">AM: Standing/Seated Balance Practice
News: Food Section + 'Eat What You Want' Vote
PM: Card Tournament: Skip-Bo, UNO, Rummy
Sup: Riddle Night
Eve: Group Game: Pictionary (Senior Edition)</t>
  </si>
  <si>
    <t xml:space="preserve">AM: Tai Chi Basics (Seated)
News: Limerick Day Special
PM: Manicure &amp; Music Social
Sup: Limerick at Each Table
Eve: Movie Night: 'Driving Miss Daisy' alternative skipped - instead 'Calendar Girls' (2003)</t>
  </si>
  <si>
    <t xml:space="preserve">AM: Apple Pie Energizer
News: Food Section + Apple Pie Recipe Read-Aloud
PM: Apple Pie Tasting + Cooking Demo
Sup: Trivia: Famous Pies in Pop Culture
Eve: Group Game: Name That Tune (Pie Edition - then general)</t>
  </si>
  <si>
    <t xml:space="preserve">AM: Resistance Band: Upper Body Focus
News: Food Section + Biscuit Recipe Reminiscence
PM: Biscuit + Jam Tasting Social
Sup: Categories Game: Southern Food
Eve: Movie Night: 'Fried Green Tomatoes' (1991)</t>
  </si>
  <si>
    <t xml:space="preserve">AM: Chair Yoga: Shoulder &amp; Neck Relief
News: Newspaper + Chocolate Chip Cookie History
PM: Cookie Decorating Social
Sup: Endangered Species Trivia
Eve: Group Game: 'Name the Decade'</t>
  </si>
  <si>
    <t xml:space="preserve">AM: Patriotic Marching Movement
News: Newspaper + Military Branches Word Match
PM: Armed Forces Day Honor Ceremony - SEE BONUS EVENT
Sup: Trivia at Tables: Military History
Eve: Movie Night: 'The Best Years of Our Lives' (1946)</t>
  </si>
  <si>
    <t xml:space="preserve">AM: Sunday Stretch with Soft Hymns
News: Sunday Comics + Walnut Trivia
PM: Sunday Hymn Sing &amp; Visiting Hour
Sup: Riddle: Trees &amp; Fall
Eve: Cards &amp; Quiet Time</t>
  </si>
  <si>
    <t xml:space="preserve">18
International Museum Day</t>
  </si>
  <si>
    <t xml:space="preserve">19
National Devil's Food Cake Day</t>
  </si>
  <si>
    <t xml:space="preserve">20
National Pick Strawberries Day</t>
  </si>
  <si>
    <t xml:space="preserve">21
National Memo Day &amp; National Strawberries &amp; Cream Day</t>
  </si>
  <si>
    <t xml:space="preserve">22
National Maritime Day &amp; National Vanilla Pudding Day</t>
  </si>
  <si>
    <t xml:space="preserve">23
National Lucky Penny Day &amp; World Turtle Day</t>
  </si>
  <si>
    <t xml:space="preserve">24
National Scavenger Hunt Day</t>
  </si>
  <si>
    <t xml:space="preserve">AM: Walking Club: Museum Walk
News: Newspaper + Art Trivia
PM: Watercolor Painting Hour
Sup: Trivia: Famous Museums
Eve: Movie Night: 'The Best Exotic Marigold Hotel' (2011)</t>
  </si>
  <si>
    <t xml:space="preserve">AM: Resistance Band: Lower Body Focus
News: Food Section + Devil's Food Cake History
PM: Cake &amp; Coffee Social
Sup: Categories: Things That Are Sweet
Eve: Group Game: Charades (Senior Edition)</t>
  </si>
  <si>
    <t xml:space="preserve">AM: Strawberry Picking Movement
News: Newspaper + Strawberry Recipe Read
PM: Strawberry Shortcake Social
Sup: Riddle Night
Eve: Movie Night: 'Strawberry Shortcake' (animated, family-friendly) - or alt 'Ratatouille' (2007)</t>
  </si>
  <si>
    <t xml:space="preserve">AM: Chair Yoga: Hip Openers
News: Newspaper + 'Memo to Self' Writing Activity
PM: Strawberries &amp; Cream Tea Social
Sup: Trivia: Famous Memos in History
Eve: Group Game: Bingo with Music Themes</t>
  </si>
  <si>
    <t xml:space="preserve">AM: Dance Movement: Big Band &amp; Maritime Songs
News: Newspaper + Maritime Day Word Search
PM: Vanilla Pudding Sundae Bar
Sup: Categories: Things on a Boat
Eve: Movie Night: 'Captains Courageous' (1937) or 'Old Man and the Sea' (1958)</t>
  </si>
  <si>
    <t xml:space="preserve">AM: Walking Club: Garden + Penny Pickup
News: Newspaper + Penny Trivia
PM: Turtle Day Slow-and-Steady Trivia
Sup: Riddle: Lucky Things
Eve: Movie Night: 'Cocoon: The Return' (1988) - alt 'A League of Their Own' (1992)</t>
  </si>
  <si>
    <t xml:space="preserve">AM: Sunday Stretch + Quiet Reflection
News: Sunday Paper + Scavenger Hunt Word List
PM: Indoor Scavenger Hunt + Ice Cream
Sup: Categories: 'Things You'd Find in a Scavenger Hunt'
Eve: Movie + Card Lounge</t>
  </si>
  <si>
    <t xml:space="preserve">25
MEMORIAL DAY &amp; National Wine Day</t>
  </si>
  <si>
    <t xml:space="preserve">26
National Blueberry Cheesecake Day &amp; National Paper Airplane Day</t>
  </si>
  <si>
    <t xml:space="preserve">27
National Grape Popsicle Day &amp; Sun Screen Day</t>
  </si>
  <si>
    <t xml:space="preserve">28
National Hamburger Day &amp; Senior Health &amp; Fitness Day</t>
  </si>
  <si>
    <t xml:space="preserve">29
JFK's Birthday &amp; National Coq au Vin Day</t>
  </si>
  <si>
    <t xml:space="preserve">30
National Mint Julep Day</t>
  </si>
  <si>
    <t xml:space="preserve">31
National Macaroon Day</t>
  </si>
  <si>
    <t xml:space="preserve">AM: Patriotic Movement Hour
News: Newspaper + Memorial Day Reading
PM: Memorial Day Cookout &amp; Remembrance - SEE BONUS EVENT
Sup: Trivia: U.S. Patriotic History
Eve: Movie Night: 'Saving Private Ryan' (Light edit) - alt 'The Notebook' (2004)</t>
  </si>
  <si>
    <t xml:space="preserve">AM: Resistance Band: Full Body Quick Routine
News: Newspaper + Paper Airplane Folding
PM: Blueberry Cheesecake Social
Sup: Riddle Night
Eve: Group Game: Bingo + Music</t>
  </si>
  <si>
    <t xml:space="preserve">AM: Chair Yoga: Sun Salutation Adaptation
News: Newspaper + Sun &amp; Skin Care Tips
PM: Grape Popsicle Outdoor Time
Sup: Categories: Summer Things
Eve: Movie Night: 'Sandlot' (1993) or 'Field of Dreams' (1989)</t>
  </si>
  <si>
    <t xml:space="preserve">AM: Senior Health &amp; Fitness Fair Warm-Up
News: Newspaper + Health Tips Trivia
PM: Senior Health &amp; Fitness Fair - SEE BONUS EVENT
Sup: Trivia: Famous Hamburger Joints
Eve: Group Game: Bingo + Burger Bar</t>
  </si>
  <si>
    <t xml:space="preserve">AM: Dance Movement: Camelot Era
News: Newspaper + JFK Reminiscence Word List
PM: Old-Time Sing-Along + Snack
Sup: Trivia: 1960s
Eve: Movie Night: 'Hidden Figures' (2016) or 'Apollo 13' (1995)</t>
  </si>
  <si>
    <t xml:space="preserve">AM: Saturday Morning Country Movement
News: Newspaper + Mint Julep Recipe Read
PM: Saturday Card Tournament + Mint Lemonade
Sup: Riddle Night
Eve: Movie Night: 'Seabiscuit' (2003)</t>
  </si>
  <si>
    <t xml:space="preserve">AM: Sunday Closing Stretch
News: Sunday Comics + 'Goodbye May' Word List
PM: Macaroon &amp; Tea Closing Social
Sup: Trivia: May in Review
Eve: Movie Night (Closing the Month): 'The Sound of Music' (1965)</t>
  </si>
  <si>
    <t xml:space="preserve">LEGEND   |   GOLD = Major Holiday   |   LIGHT GOLD = Bonus Event Day   |   BLUE = Weekday   |   LIGHT BLUE = Weekend</t>
  </si>
  <si>
    <t xml:space="preserve">Date</t>
  </si>
  <si>
    <t xml:space="preserve">Day</t>
  </si>
  <si>
    <t xml:space="preserve">Holiday / Theme</t>
  </si>
  <si>
    <t xml:space="preserve">Slot</t>
  </si>
  <si>
    <t xml:space="preserve">Time</t>
  </si>
  <si>
    <t xml:space="preserve">Activity Title</t>
  </si>
  <si>
    <t xml:space="preserve">Description, Supplies, Level Adaptations</t>
  </si>
  <si>
    <t xml:space="preserve">May 1</t>
  </si>
  <si>
    <t xml:space="preserve">Friday</t>
  </si>
  <si>
    <t xml:space="preserve">May Day &amp; National Mother Goose Day</t>
  </si>
  <si>
    <t xml:space="preserve">Morning Exercise</t>
  </si>
  <si>
    <t xml:space="preserve">9:30-10:00 AM</t>
  </si>
  <si>
    <t xml:space="preserve">Chair Yoga: Spring Awakening</t>
  </si>
  <si>
    <t xml:space="preserve">Gentle 25-min seated yoga sequence with a flower-and-garden visualization. Focus on shoulder rolls, neck stretches, hip openers. Bring a fresh flower for each resident to hold during closing breath. AL: standing balance pose option. MC: leader demonstrates each move slowly, repeats cues. SN: passive range-of-motion assistance for those who need it.</t>
  </si>
  <si>
    <t xml:space="preserve">Newspaper + Word Game</t>
  </si>
  <si>
    <t xml:space="preserve">10:30-11:30 AM</t>
  </si>
  <si>
    <t xml:space="preserve">'Welcome to May' Word Search</t>
  </si>
  <si>
    <t xml:space="preserve">Read morning headlines aloud (weather, sports, light human-interest). Distribute the May Day word search (large print on Word Puzzle sheet #1). Words: MAYDAY, FLOWERS, SPRING, BASKET, RIBBON, MAYPOLE, BLOOM, BIRDS, GREEN, WARM. MC: do as a group on a whiteboard with leader pointing.</t>
  </si>
  <si>
    <t xml:space="preserve">Afternoon Social</t>
  </si>
  <si>
    <t xml:space="preserve">2:00-3:00 PM</t>
  </si>
  <si>
    <t xml:space="preserve">May Basket Craft Social</t>
  </si>
  <si>
    <t xml:space="preserve">Old tradition: fill paper cones with flowers and hang on neighbors' doors. Residents decorate small paper cones (pre-cut), fill with fresh or silk flowers and a candy. Deliver baskets to staff offices and to residents who couldn't attend. Coffee and cookies served. AL/MC: full participation. SN: pre-assembled cones, resident adds 1-2 decorative touches.</t>
  </si>
  <si>
    <t xml:space="preserve">Supper Word Puzzle</t>
  </si>
  <si>
    <t xml:space="preserve">5:30-6:30 PM</t>
  </si>
  <si>
    <t xml:space="preserve">Riddle of the Day</t>
  </si>
  <si>
    <t xml:space="preserve">Place this riddle card at every table: 'I'm tall when I'm young and short when I'm old. What am I?' (Answer: a candle.) Bonus: 'What flower has two lips?' (a tulip). Encourage table conversation.</t>
  </si>
  <si>
    <t xml:space="preserve">Evening Movie/Game</t>
  </si>
  <si>
    <t xml:space="preserve">6:30-8:00 PM</t>
  </si>
  <si>
    <t xml:space="preserve">Movie Night: 'Driving Miss Daisy' (1989)</t>
  </si>
  <si>
    <t xml:space="preserve">Beloved classic, PG, 99 min, about friendship across decades. Popcorn and lemonade. Lights low but not off. Provide closed captions. MC alternative: 30-min episode of 'I Love Lucy' season 2 in their lounge.</t>
  </si>
  <si>
    <t xml:space="preserve">May 2</t>
  </si>
  <si>
    <t xml:space="preserve">Saturday</t>
  </si>
  <si>
    <t xml:space="preserve">Kentucky Derby Day (1st Saturday)</t>
  </si>
  <si>
    <t xml:space="preserve">Derby Day Warm-Up</t>
  </si>
  <si>
    <t xml:space="preserve">Themed energizer: 'horses at the gate' marching in place 1 min, 'reaching for the roses' overhead reach x10, 'galloping arms' alternating reach x20, ankle circles, seated kicks. End with 'Photo finish!' freeze pose. Play 'Camptown Races' as background. ~25 min.</t>
  </si>
  <si>
    <t xml:space="preserve">Sports Headlines + Famous Horses Trivia</t>
  </si>
  <si>
    <t xml:space="preserve">Read the day's sports section, especially Derby coverage. Trivia card: name three Triple Crown winners (Secretariat 1973, Affirmed 1978, American Pharoah 2015, Justify 2018). Group word scramble: HORSESHOE, JOCKEY, DERBY, ROSES, BLANKET.</t>
  </si>
  <si>
    <t xml:space="preserve">Make-Your-Own Derby Hat Workshop</t>
  </si>
  <si>
    <t xml:space="preserve">Pre-cut paper sun-hats. Bins of ribbons, silk flowers, feathers, and tulle. Glue dots (safer than hot glue) and sticky tape. Music: 'My Old Kentucky Home.' Photograph each resident in their hat for the bulletin board. SN: residents who can't manipulate small items get an aide-assisted hat plus they 'judge' style.</t>
  </si>
  <si>
    <t xml:space="preserve">Derby Trivia Cards on Tables</t>
  </si>
  <si>
    <t xml:space="preserve">One question per table: 'What flower wraps the Derby winner?' (red roses), 'How long is the Derby race?' (1.25 miles), 'In what state is Churchill Downs?' (Kentucky). Encourage discussion.</t>
  </si>
  <si>
    <t xml:space="preserve">Kentucky Derby Watch Party - SEE BONUS EVENT (May 2)</t>
  </si>
  <si>
    <t xml:space="preserve">See the bonus event sheet for full details. 6:00-7:30 PM in main activity room. Residents not attending: cards or quiet movie ('National Velvet,' 1944) in lounge.</t>
  </si>
  <si>
    <t xml:space="preserve">May 3</t>
  </si>
  <si>
    <t xml:space="preserve">Sunday</t>
  </si>
  <si>
    <t xml:space="preserve">National Garden Meditation Day</t>
  </si>
  <si>
    <t xml:space="preserve">Sunday Stretch &amp; Hymn Hour</t>
  </si>
  <si>
    <t xml:space="preserve">Slow seated stretch sequence to gospel music ('Amazing Grace,' 'How Great Thou Art'). 20 minutes - this is a calmer Sunday pace. Optional Bible reading for those who wish. Ends with deep breathing.</t>
  </si>
  <si>
    <t xml:space="preserve">Sunday Comics Read-Aloud + Garden Word List</t>
  </si>
  <si>
    <t xml:space="preserve">Read Sunday comics aloud (Family Circus, Peanuts, Garfield). Then the National Garden Meditation Day word list: SOIL, SEED, RAIN, SUN, BLOOM, BUD, ROOT, LEAF, PETAL, GROW. Residents take turns calling out words they associate with each.</t>
  </si>
  <si>
    <t xml:space="preserve">Garden Meditation &amp; Plant Potting</t>
  </si>
  <si>
    <t xml:space="preserve">Small terra-cotta pots, potting soil, marigold or basil seedlings (resident-friendly). Each person plants their own pot to take to their room. Soft instrumental music. Discuss 'My favorite flower growing up' as a reminiscence prompt. SN: aide assists with the actual potting; resident chooses the plant and labels the pot.</t>
  </si>
  <si>
    <t xml:space="preserve">Limerick Read-Aloud (early intro for the 12th)</t>
  </si>
  <si>
    <t xml:space="preserve">Read 2-3 classic clean limericks aloud at supper. Example: 'There was an old man with a beard, who said, It is just as I feared! - Two owls and a hen, four larks and a wren, have all built their nests in my beard!' (Edward Lear). Light laughter.</t>
  </si>
  <si>
    <t xml:space="preserve">Hymn Sing-Along + Cards in Lounge</t>
  </si>
  <si>
    <t xml:space="preserve">Volunteer pianist or recorded music. Hymnals or printed lyric sheets. Songs: 'In the Garden,' 'Just a Closer Walk With Thee,' 'How Great Thou Art.' Cards (Rummy, Skip-Bo) available in side lounge for residents wanting quieter time.</t>
  </si>
  <si>
    <t xml:space="preserve">May 4</t>
  </si>
  <si>
    <t xml:space="preserve">Monday</t>
  </si>
  <si>
    <t xml:space="preserve">Star Wars Day - 'May the 4th Be With You'</t>
  </si>
  <si>
    <t xml:space="preserve">Star Wars 'Jedi Training' Stretch</t>
  </si>
  <si>
    <t xml:space="preserve">Lighthearted theme - residents are 'Jedi knights' warming up. Lightsaber (pool noodle) reach moves: high reach, side reach, big circles. 'Force push' deep breath x5. 'Yoda balance' single-leg stand at chair. ~25 min. Play the Star Wars main theme.</t>
  </si>
  <si>
    <t xml:space="preserve">Front-Page News + Movie Trivia</t>
  </si>
  <si>
    <t xml:space="preserve">Read the front page. Trivia: 'May the 4th be with you' explained for those who haven't heard it. Word scramble: JEDI, YODA, FORCE, REBEL, SABER, GALAXY, SPACE.</t>
  </si>
  <si>
    <t xml:space="preserve">Galaxy Trivia &amp; Snack Social</t>
  </si>
  <si>
    <t xml:space="preserve">Star Wars-themed trivia for fans, classic movie trivia for everyone else. 'Wookiee cookies' (chocolate chip), 'Yoda soda' (lime sherbet + Sprite). Project a few classic movie scenes (PG, brief, no laser-violence-heavy clips). MC: focus on the music and snacks rather than trivia.</t>
  </si>
  <si>
    <t xml:space="preserve">Famous Movie Lines Match-Up</t>
  </si>
  <si>
    <t xml:space="preserve">Card on each table with 5 famous movie quotes. Match to the movie: 'May the Force be with you' (Star Wars), 'Frankly, my dear...' (Gone with the Wind), 'Here's looking at you, kid' (Casablanca), 'You can't handle the truth!' (A Few Good Men), 'There's no place like home' (Wizard of Oz).</t>
  </si>
  <si>
    <t xml:space="preserve">Movie Night: 'Cocoon' (1985)</t>
  </si>
  <si>
    <t xml:space="preserve">PG-13, 117 min, about senior citizens at a Florida retirement home (perfect choice). Heartwarming + funny. MC alternative: 'The Sound of Music' sing-along, 30-min cuts.</t>
  </si>
  <si>
    <t xml:space="preserve">May 5</t>
  </si>
  <si>
    <t xml:space="preserve">Tuesday</t>
  </si>
  <si>
    <t xml:space="preserve">Cinco de Mayo</t>
  </si>
  <si>
    <t xml:space="preserve">Salsa Dance Movement (Seated)</t>
  </si>
  <si>
    <t xml:space="preserve">Lively chair salsa to traditional Mexican music. Hip rocks, shoulder shimmies, arm flourishes, hand claps in rhythm. ~25 min. Maracas if available. Energizing and bright - great for Cinco de Mayo morning.</t>
  </si>
  <si>
    <t xml:space="preserve">Cinco de Mayo Word Search (Spanish-English)</t>
  </si>
  <si>
    <t xml:space="preserve">Word search in two languages: HOLA/HELLO, AMIGO/FRIEND, FIESTA/PARTY, GRACIAS/THANKS, MUSICA/MUSIC, BAILE/DANCE, COMIDA/FOOD. Brief history: Cinco de Mayo commemorates Mexico's 1862 Battle of Puebla victory.</t>
  </si>
  <si>
    <t xml:space="preserve">Cinco de Mayo Fiesta - SEE BONUS EVENT</t>
  </si>
  <si>
    <t xml:space="preserve">See bonus event sheet. 2:00-3:30 PM in activity room with mariachi music, food, and loteria. Decorate with paper flowers (papel picado banner).</t>
  </si>
  <si>
    <t xml:space="preserve">'Categories' Game at Tables</t>
  </si>
  <si>
    <t xml:space="preserve">Pick a letter from a hat. Each table names something in each category starting with that letter: a food, a place, an animal, a name. Light competitive. Letters chosen: easier ones (S, M, C, B, T).</t>
  </si>
  <si>
    <t xml:space="preserve">Group Game: Loteria (Mexican Bingo)</t>
  </si>
  <si>
    <t xml:space="preserve">Like Bingo but with picture cards (La Sirena, El Sol, La Luna, etc.). Free printable cards on the Word Game tab of the planner. Beans for markers, small prizes (bookmarks, candy). 45 min. Or offer Spanish-language film 'Coco' (PG) in side lounge.</t>
  </si>
  <si>
    <t xml:space="preserve">May 6</t>
  </si>
  <si>
    <t xml:space="preserve">Wednesday</t>
  </si>
  <si>
    <t xml:space="preserve">National Nurses Day &amp; National Beverage Day</t>
  </si>
  <si>
    <t xml:space="preserve">Resistance Band Workout: Strong Like a Nurse</t>
  </si>
  <si>
    <t xml:space="preserve">In honor of Nurses Day. 25 min seated resistance band workout: bicep curls x10, rows x10, chest press x10, leg extensions x10. Light bands only. Honor any former-nurse residents in the group with a thank you.</t>
  </si>
  <si>
    <t xml:space="preserve">Newspaper + 'Things My Mom/Nurse Said' Reminiscence</t>
  </si>
  <si>
    <t xml:space="preserve">Read paper, then a short list of common sayings ('An apple a day keeps the doctor away,' 'Drink your water,' 'Get some rest!'). Residents share sayings they remember from their own mothers or nurses. Word game: NURSE, CARE, HEAL, HEART, HAND, KIND.</t>
  </si>
  <si>
    <t xml:space="preserve">Make-a-Card for Local Nursing Staff</t>
  </si>
  <si>
    <t xml:space="preserve">Blank cards, markers, stickers, glitter glue. Residents write or dictate thank-you messages to facility nurses or local hospital nurses (cards delivered by activity director). Snack: cookies and lemonade. SN: pre-printed messages residents circle/sign.</t>
  </si>
  <si>
    <t xml:space="preserve">Trivia Card: Beverages Around the World</t>
  </si>
  <si>
    <t xml:space="preserve">Three questions: 'What country is the home of tea ceremony?' (Japan), 'What's the official drink of Kentucky?' (mint julep), 'What beverage was once called the wine of Arabia?' (coffee).</t>
  </si>
  <si>
    <t xml:space="preserve">Group Game: Wheel of Fortune (DIY)</t>
  </si>
  <si>
    <t xml:space="preserve">Activity director runs a DIY Wheel of Fortune on a whiteboard. Categories: famous nurses, hospital words, classic medicines (HORLICKS, VICKS VAPORUB, etc.). Or watch real Wheel of Fortune episode if airing.</t>
  </si>
  <si>
    <t xml:space="preserve">May 7</t>
  </si>
  <si>
    <t xml:space="preserve">Thursday</t>
  </si>
  <si>
    <t xml:space="preserve">National Roast Leg of Lamb Day</t>
  </si>
  <si>
    <t xml:space="preserve">Walking Club: Indoor Lap or Garden Stroll</t>
  </si>
  <si>
    <t xml:space="preserve">30 min walking club. Indoor hallway loop or outdoor garden if weather is nice. Pair walkers with non-walking residents who can be wheeled along to socialize. Stop for photos and identifying flowers along the way.</t>
  </si>
  <si>
    <t xml:space="preserve">Garden Section + Flower Crossword (Easy)</t>
  </si>
  <si>
    <t xml:space="preserve">Read the garden/home section. Easy 9-word crossword. Clues: 'Yellow flower with a dark center' (DAISY), 'Symbol of mothers' (CARNATION), 'Spring bulb in tulips family' (TULIP), 'Climbs trellises with thorns' (ROSE).</t>
  </si>
  <si>
    <t xml:space="preserve">Bingo!</t>
  </si>
  <si>
    <t xml:space="preserve">Standard 30-min Bingo game. Prizes: small toiletries, costume jewelry, candy. Caller speaks loudly and clearly. Use large-print cards. SN: aide assists with marker placement. MC: simplified 4x4 picture-bingo cards.</t>
  </si>
  <si>
    <t xml:space="preserve">Riddle: Spring Edition</t>
  </si>
  <si>
    <t xml:space="preserve">'I'm bright, I'm warm, I rise in the east. Babies and grandmas love me the most.' (Sun.) 'I have leaves but I'm not a tree, I have a spine but I'm not alive.' (Book.) Encourage shouting answers.</t>
  </si>
  <si>
    <t xml:space="preserve">Movie Night: 'On Golden Pond' (1981)</t>
  </si>
  <si>
    <t xml:space="preserve">PG, 109 min. Henry Fonda, Katharine Hepburn, Jane Fonda. Beautiful film about an aging couple at their summer cabin. Tissues recommended. MC alternative: 'Lawrence Welk Show' DVD.</t>
  </si>
  <si>
    <t xml:space="preserve">May 8</t>
  </si>
  <si>
    <t xml:space="preserve">V-E Day (Victory in Europe, 1945) &amp; No Socks Day</t>
  </si>
  <si>
    <t xml:space="preserve">Dance Movement: Big Band Era</t>
  </si>
  <si>
    <t xml:space="preserve">20 min seated dance to swing/Big Band hits (Glenn Miller, Tommy Dorsey, the Andrews Sisters). Honors V-E Day. Hand-claps, shoulder shimmies, march in place. End with the 'Boogie Woogie Bugle Boy' for fun.</t>
  </si>
  <si>
    <t xml:space="preserve">V-E Day History Read + 1940s Word Search</t>
  </si>
  <si>
    <t xml:space="preserve">Brief read-aloud about Victory in Europe Day (May 8, 1945, Germany surrendered). Word search: VICTORY, FREEDOM, ALLIES, PEACE, EUROPE, FLAG, HEROES, HOME, RATION, GARDEN (as in Victory Garden).</t>
  </si>
  <si>
    <t xml:space="preserve">Mother's Day Tea (Pre-Celebration) - SEE BONUS EVENT</t>
  </si>
  <si>
    <t xml:space="preserve">See bonus event sheet for full details. 2:00-3:30 PM in dining room. Families encouraged to attend before the actual Sunday.</t>
  </si>
  <si>
    <t xml:space="preserve">Trivia: Decade Match</t>
  </si>
  <si>
    <t xml:space="preserve">Three questions: 'What decade was V-E Day?' (1940s), 'What dance was big in the 20s?' (Charleston), 'What music genre exploded in the 50s?' (Rock &amp; Roll).</t>
  </si>
  <si>
    <t xml:space="preserve">Sing-Along: 1940s Hit Parade</t>
  </si>
  <si>
    <t xml:space="preserve">'Don't Sit Under the Apple Tree,' 'Boogie Woogie Bugle Boy,' 'I'll Be Seeing You,' 'White Cliffs of Dover,' 'God Bless America.' Lyric sheets large-print. Volunteer musician if available.</t>
  </si>
  <si>
    <t xml:space="preserve">May 9</t>
  </si>
  <si>
    <t xml:space="preserve">National Lost Sock Memorial Day &amp; National Train Day</t>
  </si>
  <si>
    <t xml:space="preserve">Marching Band Movement</t>
  </si>
  <si>
    <t xml:space="preserve">National Train Day - 'all aboard' theme. Marching in place, arm-pumping like a train conductor, big breath 'whistle' on the count of 5. Play train-themed music: 'Chattanooga Choo Choo,' 'Take the A Train.' ~25 min.</t>
  </si>
  <si>
    <t xml:space="preserve">Travel Section + Train Trivia</t>
  </si>
  <si>
    <t xml:space="preserve">Read travel section. Train trivia: 'What was the first transcontinental railroad?' (Promontory Summit, Utah, 1869). 'What's the famous train in the Hercule Poirot mystery?' (Orient Express). Word scramble: ENGINE, CABOOSE, WHISTLE, CONDUCTOR, STATION, RAILS.</t>
  </si>
  <si>
    <t xml:space="preserve">Sock Hop &amp; Lost Sock Memorial</t>
  </si>
  <si>
    <t xml:space="preserve">Lighthearted: National Lost Sock Memorial Day. Decorate paper socks for the bulletin board. Then a brief 'sock hop' - 50s music, seated dancing, root beer floats. Soda jerk hats for staff.</t>
  </si>
  <si>
    <t xml:space="preserve">Travel Word Game</t>
  </si>
  <si>
    <t xml:space="preserve">'Name 3 cities you've been to' goes around the table. Then trivia card: 'What famous train route runs Edinburgh to London?' (East Coast Main Line, or take any answer). 'What letter starts the most U.S. state names?' (M - 8 of them).</t>
  </si>
  <si>
    <t xml:space="preserve">Movie Night: 'Strangers on a Train' (1951) [Light edit]</t>
  </si>
  <si>
    <t xml:space="preserve">Hitchcock classic, NR, 101 min. Suspense but not scary. Or for lighter alternative: 'The Sound of Music' (1965, G, 174 min) - shown in two parts across two nights.</t>
  </si>
  <si>
    <t xml:space="preserve">May 10</t>
  </si>
  <si>
    <t xml:space="preserve">Mother's Day &amp; National Shrimp Day</t>
  </si>
  <si>
    <t xml:space="preserve">Sunday Gentle Stretch + Mom's Favorite Songs</t>
  </si>
  <si>
    <t xml:space="preserve">20 min calm Sunday stretch to a 'Songs Mom Loved' playlist (varies by your community: Doris Day, Patti Page, Connie Francis, Karen Carpenter). Mother's Day is sacred for many - keep this gentle. Allow tears or quiet.</t>
  </si>
  <si>
    <t xml:space="preserve">Sunday Paper + 'Mom's Wisdom' Word List</t>
  </si>
  <si>
    <t xml:space="preserve">Sunday comics + lifestyle section. Then a word list: HEART, LOVE, KIND, HOME, HUG, WARM, FAMILY. Each resident shares one thing their mother used to say.</t>
  </si>
  <si>
    <t xml:space="preserve">Mother's Day Tea Hour &amp; Family Visiting</t>
  </si>
  <si>
    <t xml:space="preserve">Open visiting hours afternoon for families. Light tea service, finger sandwiches remaining from May 8 + fresh scones. Photo station with flower backdrop. Recognize residents whose families couldn't visit with extra staff attention and a single rose.</t>
  </si>
  <si>
    <t xml:space="preserve">Trivia: Famous Mothers in History</t>
  </si>
  <si>
    <t xml:space="preserve">'Who is called the mother of the civil rights movement?' (Rosa Parks). 'What U.S. president's mother had the famous quote about the buck?' (Truman). 'Mother Teresa was from what country originally?' (Albania).</t>
  </si>
  <si>
    <t xml:space="preserve">Movie Night: 'Steel Magnolias' (1989)</t>
  </si>
  <si>
    <t xml:space="preserve">PG, 117 min. Mother-daughter classic, perfect for tonight. Tissues and snacks. MC alternative: 'I Love Lucy' (Lucy and her mother episode).</t>
  </si>
  <si>
    <t xml:space="preserve">May 11</t>
  </si>
  <si>
    <t xml:space="preserve">National Eat What You Want Day</t>
  </si>
  <si>
    <t xml:space="preserve">Standing/Seated Balance Practice</t>
  </si>
  <si>
    <t xml:space="preserve">Balance day: heel raises, toe taps, weight shifts side-to-side, single-leg stand at chair (5 sec each side). Emphasis on falls prevention. ~25 min. PT involvement encouraged if available.</t>
  </si>
  <si>
    <t xml:space="preserve">Food Section + 'Eat What You Want' Vote</t>
  </si>
  <si>
    <t xml:space="preserve">It's National Eat What You Want Day. Read food section. Then a vote: 'If you could have any meal for dinner, what would it be?' Tally results - kitchen may try to feature the top vote-getter on a future menu. Word scramble: PIZZA, BURGER, PASTA, DESSERT, CHOCOLATE.</t>
  </si>
  <si>
    <t xml:space="preserve">Card Tournament: Skip-Bo, UNO, Rummy</t>
  </si>
  <si>
    <t xml:space="preserve">Three tables, three games. Residents pick which to join. 60 min, casual. Lemonade and pretzels. Track winners on a whiteboard 'leaderboard.'</t>
  </si>
  <si>
    <t xml:space="preserve">Riddle Night</t>
  </si>
  <si>
    <t xml:space="preserve">'What has hands but cannot clap?' (clock). 'What has a face and two hands but no arms or legs?' (clock - same). 'I'm always in front of you but never behind. What am I?' (the future).</t>
  </si>
  <si>
    <t xml:space="preserve">Group Game: Pictionary (Senior Edition)</t>
  </si>
  <si>
    <t xml:space="preserve">Modified Pictionary on a whiteboard with large markers. Easy nouns: pie, cat, sun, house, flower. Two teams. 45 min. Lots of laughs. MC: simplified one-word, lots of guidance from leader.</t>
  </si>
  <si>
    <t xml:space="preserve">May 12</t>
  </si>
  <si>
    <t xml:space="preserve">International Nurses Day &amp; National Limerick Day</t>
  </si>
  <si>
    <t xml:space="preserve">Tai Chi Basics (Seated)</t>
  </si>
  <si>
    <t xml:space="preserve">Slow flowing seated movements - 'cloud hands,' 'parting the mane,' 'wave hands.' Calming Asian-style instrumental music. 25 min. Honors International Nurses Day with focus on slow breathing for stress relief.</t>
  </si>
  <si>
    <t xml:space="preserve">Limerick Day Special</t>
  </si>
  <si>
    <t xml:space="preserve">Read 4-5 famous limericks aloud (Edward Lear's clean ones). Then group-write: leader provides line 1, 'There once was a [name] from [town],' and residents shout out rhyming words. Print results on the bulletin board.</t>
  </si>
  <si>
    <t xml:space="preserve">Manicure &amp; Music Social</t>
  </si>
  <si>
    <t xml:space="preserve">Beauty afternoon. Volunteers from local cosmetology school if possible, or staff. Soft music (Bing Crosby, Doris Day). Hand massage with lotion for any resident not getting a polish. Light refreshments. Especially nice for MC residents.</t>
  </si>
  <si>
    <t xml:space="preserve">Limerick at Each Table</t>
  </si>
  <si>
    <t xml:space="preserve">A different limerick on each table. Servers can help read aloud. Pure entertainment, no game - just laughter.</t>
  </si>
  <si>
    <t xml:space="preserve">Movie Night: 'Driving Miss Daisy' alternative skipped - instead 'Calendar Girls' (2003)</t>
  </si>
  <si>
    <t xml:space="preserve">PG-13, 108 min. British, true story, women in their 50s-60s pose for charity calendar. Funny and heartwarming. Brief tasteful nudity (mostly comedic). Confirm appropriateness with your community first; alternate is 'Hello, Dolly!' (1969, G).</t>
  </si>
  <si>
    <t xml:space="preserve">May 13</t>
  </si>
  <si>
    <t xml:space="preserve">National Apple Pie Day &amp; National Frog Jumping Day</t>
  </si>
  <si>
    <t xml:space="preserve">Apple Pie Energizer</t>
  </si>
  <si>
    <t xml:space="preserve">Themed warm-up: 'rolling out the dough' arm-rolling motions, 'picking apples' overhead reach, 'stirring the filling' big circles, 'closing the oven' squat-stand (seated). End with deep apple-cinnamon-scented breath. ~20 min.</t>
  </si>
  <si>
    <t xml:space="preserve">Food Section + Apple Pie Recipe Read-Aloud</t>
  </si>
  <si>
    <t xml:space="preserve">Read a classic apple pie recipe aloud. Group reminisces: 'who in your family made the best pie?' Word search: APPLE, CRUST, BAKE, OVEN, SLICE, FORK, SUGAR, CINNAMON, NUTMEG, BUTTER.</t>
  </si>
  <si>
    <t xml:space="preserve">Apple Pie Tasting + Cooking Demo</t>
  </si>
  <si>
    <t xml:space="preserve">Activity director or kitchen does a pie demo (or cuts a pre-baked pie). Each resident gets a small slice with vanilla ice cream. Discuss family pie traditions. Frog Jumping Day side game: pre-cut paper frogs with rubber bands - simple target-jumping game on a tabletop.</t>
  </si>
  <si>
    <t xml:space="preserve">Trivia: Famous Pies in Pop Culture</t>
  </si>
  <si>
    <t xml:space="preserve">'What pie does Mrs. Lovett bake in Sweeney Todd?' (...actually let's skip that one.) 'What pie did the queen serve in Snow White?' (apple). 'In American Pie, what's the first line of the song?' (A long, long time ago, I can still remember). 'In how many movies has Tom Hanks eaten pie?' (joke - just take all answers).</t>
  </si>
  <si>
    <t xml:space="preserve">Group Game: Name That Tune (Pie Edition - then general)</t>
  </si>
  <si>
    <t xml:space="preserve">Activity director plays 5-second clips of famous songs (American Pie, Sweet Caroline, etc.) - residents guess. Score by team. 45 min. Easy alternative: Music bingo with song-title cards.</t>
  </si>
  <si>
    <t xml:space="preserve">May 14</t>
  </si>
  <si>
    <t xml:space="preserve">National Buttermilk Biscuit Day</t>
  </si>
  <si>
    <t xml:space="preserve">Resistance Band: Upper Body Focus</t>
  </si>
  <si>
    <t xml:space="preserve">25 min targeting arms, chest, back. Shoulder shrugs, rows, presses, side raises. Music: classic country - Patsy Cline, Hank Williams, Dolly Parton (in honor of biscuits and Southern cooking).</t>
  </si>
  <si>
    <t xml:space="preserve">Food Section + Biscuit Recipe Reminiscence</t>
  </si>
  <si>
    <t xml:space="preserve">Read paper, then read aloud the basic buttermilk biscuit recipe (flour, baking powder, salt, butter, buttermilk). Residents share grandmother's biscuit memories. Word scramble: BISCUIT, BUTTER, FLOUR, GRAVY, JAM, HONEY.</t>
  </si>
  <si>
    <t xml:space="preserve">Biscuit + Jam Tasting Social</t>
  </si>
  <si>
    <t xml:space="preserve">Buy or bake biscuits, set up a jam-tasting bar (3-4 jam flavors, butter, honey). Sweet tea. Country music in the background. Residents vote on favorite jam. 60 min.</t>
  </si>
  <si>
    <t xml:space="preserve">Categories Game: Southern Food</t>
  </si>
  <si>
    <t xml:space="preserve">Each table names: a Southern breakfast food, a Southern dessert, a Southern side dish, a Southern drink. Tally most-named items.</t>
  </si>
  <si>
    <t xml:space="preserve">Movie Night: 'Fried Green Tomatoes' (1991)</t>
  </si>
  <si>
    <t xml:space="preserve">PG-13, 130 min. Southern, beloved, about female friendship across generations. Some intense moments but overall heartwarming. MC alternative: 'Designing Women' TV episode.</t>
  </si>
  <si>
    <t xml:space="preserve">May 15</t>
  </si>
  <si>
    <t xml:space="preserve">National Chocolate Chip Day</t>
  </si>
  <si>
    <t xml:space="preserve">Chair Yoga: Shoulder &amp; Neck Relief</t>
  </si>
  <si>
    <t xml:space="preserve">Friday calming session before the weekend. Focus on areas residents commonly complain about: neck, shoulders, lower back. Slow gentle pace. 25 min.</t>
  </si>
  <si>
    <t xml:space="preserve">Newspaper + Chocolate Chip Cookie History</t>
  </si>
  <si>
    <t xml:space="preserve">Did you know chocolate chip cookies were invented in 1938 by Ruth Wakefield at the Toll House Inn? Brief history read. Word search: COOKIE, CHOCOLATE, CHIP, BAKE, OVEN, MILK, SWEET, CHEW, CRUNCH, NESTLE.</t>
  </si>
  <si>
    <t xml:space="preserve">Cookie Decorating Social</t>
  </si>
  <si>
    <t xml:space="preserve">Pre-baked sugar cookies, frosting in 3 colors, sprinkles, mini chocolate chips. Residents decorate. Eat your masterpiece + a glass of milk. 60 min. SN: aide pipes the frosting at resident's direction.</t>
  </si>
  <si>
    <t xml:space="preserve">Endangered Species Trivia</t>
  </si>
  <si>
    <t xml:space="preserve">Endangered Species Day. 'What's the most famous endangered bear?' (panda). 'How many manatees in Florida today?' (rough answer: ~7,500). 'What U.S. bird was nearly extinct but recovered?' (bald eagle).</t>
  </si>
  <si>
    <t xml:space="preserve">Group Game: 'Name the Decade'</t>
  </si>
  <si>
    <t xml:space="preserve">Activity director plays/shows clips representing different decades. Residents guess the decade. Songs, photos, ads. Good for reminiscence. 45 min.</t>
  </si>
  <si>
    <t xml:space="preserve">May 16</t>
  </si>
  <si>
    <t xml:space="preserve">Armed Forces Day (3rd Saturday) &amp; National BBQ Day</t>
  </si>
  <si>
    <t xml:space="preserve">Patriotic Marching Movement</t>
  </si>
  <si>
    <t xml:space="preserve">Armed Forces Day. March in place to Sousa marches ('Stars and Stripes Forever'). Salute drills, arm-swinging, deep proud breaths. Honor any veteran in the room with a verbal recognition. 25 min.</t>
  </si>
  <si>
    <t xml:space="preserve">Newspaper + Military Branches Word Match</t>
  </si>
  <si>
    <t xml:space="preserve">Read paper, especially Armed Forces Day coverage. Word match: connect each branch to its motto - Army (This We'll Defend), Navy (Semper Fortis), Marines (Semper Fi), Air Force (Aim High - Fly-Fight-Win), Coast Guard (Semper Paratus), Space Force (Semper Supra).</t>
  </si>
  <si>
    <t xml:space="preserve">Armed Forces Day Honor Ceremony - SEE BONUS EVENT</t>
  </si>
  <si>
    <t xml:space="preserve">See bonus event sheet for full details. 2:00 PM in dining room. All-facility event.</t>
  </si>
  <si>
    <t xml:space="preserve">Trivia at Tables: Military History</t>
  </si>
  <si>
    <t xml:space="preserve">'In what year did D-Day happen?' (1944). 'What's the highest U.S. military decoration?' (Medal of Honor). 'Who said I shall return?' (Gen. MacArthur).</t>
  </si>
  <si>
    <t xml:space="preserve">Movie Night: 'The Best Years of Our Lives' (1946)</t>
  </si>
  <si>
    <t xml:space="preserve">NR, 170 min. Won 7 Oscars. About WWII soldiers returning home. Long but powerful. Show in two parts if needed (Sat + Sun). MC alternative: USO-style musical hour.</t>
  </si>
  <si>
    <t xml:space="preserve">May 17</t>
  </si>
  <si>
    <t xml:space="preserve">National Walnut Day</t>
  </si>
  <si>
    <t xml:space="preserve">Sunday Stretch with Soft Hymns</t>
  </si>
  <si>
    <t xml:space="preserve">Sunday's gentle pace. 20 min seated stretch + breathing to soft hymn music. Volunteer chaplain visit if scheduled.</t>
  </si>
  <si>
    <t xml:space="preserve">Sunday Comics + Walnut Trivia</t>
  </si>
  <si>
    <t xml:space="preserve">Sunday comics. Walnut Day brief: walnuts come from a tree native to Persia, introduced to North America in the 1700s. Word search: NUT, TREE, SHELL, MEAT, BAKE, BREAD, FALL, AUTUMN, CRACK, BOWL.</t>
  </si>
  <si>
    <t xml:space="preserve">Sunday Hymn Sing &amp; Visiting Hour</t>
  </si>
  <si>
    <t xml:space="preserve">Open visiting + hymn sing in main room. Pianist (volunteer) leads. Cookies and tea. Walnut bread sample if available. 60-90 min.</t>
  </si>
  <si>
    <t xml:space="preserve">Riddle: Trees &amp; Fall</t>
  </si>
  <si>
    <t xml:space="preserve">'I have many leaves but I'm not a salad.' (tree). 'I drop in the fall but I'm not a stage.' (curtain... or also a leaf - take both).</t>
  </si>
  <si>
    <t xml:space="preserve">Cards &amp; Quiet Time</t>
  </si>
  <si>
    <t xml:space="preserve">Open lounge: cards (Rummy, Skip-Bo, Bridge if anyone plays), quiet music, tea or hot chocolate. Sundays are gentle. Movie option in side room: 'It's a Wonderful Life' (1946, G) for those wanting a film.</t>
  </si>
  <si>
    <t xml:space="preserve">May 18</t>
  </si>
  <si>
    <t xml:space="preserve">International Museum Day</t>
  </si>
  <si>
    <t xml:space="preserve">Walking Club: Museum Walk</t>
  </si>
  <si>
    <t xml:space="preserve">Indoor walking with prints/posters of famous artworks placed along the hallway (Mona Lisa, American Gothic, Starry Night, etc.). Residents walk and stop at each. 30 min. Honors International Museum Day.</t>
  </si>
  <si>
    <t xml:space="preserve">Newspaper + Art Trivia</t>
  </si>
  <si>
    <t xml:space="preserve">Read paper. Art trivia card: 'Who painted the Mona Lisa?' (Da Vinci). 'What's the famous American painting of a farmer with a pitchfork?' (American Gothic, by Grant Wood). 'What artist cut off his ear?' (Van Gogh).</t>
  </si>
  <si>
    <t xml:space="preserve">Watercolor Painting Hour</t>
  </si>
  <si>
    <t xml:space="preserve">Set up watercolor stations with simple subjects: a tulip, a sunset, an apple. Provide examples. No skill required. Display all artwork on the bulletin board. 60 min. SN: large brushes, hand-over-hand assist available.</t>
  </si>
  <si>
    <t xml:space="preserve">Trivia: Famous Museums</t>
  </si>
  <si>
    <t xml:space="preserve">'In what city is the Louvre?' (Paris). 'What U.S. museum has the Star-Spangled Banner flag?' (Smithsonian). 'What city's museum is famous for Van Gogh's Starry Night?' (NYC, MoMA).</t>
  </si>
  <si>
    <t xml:space="preserve">Movie Night: 'The Best Exotic Marigold Hotel' (2011)</t>
  </si>
  <si>
    <t xml:space="preserve">PG-13, 124 min. British seniors retire to India - perfect for residents. MC alternative: 'Lawrence Welk Show' DVD.</t>
  </si>
  <si>
    <t xml:space="preserve">May 19</t>
  </si>
  <si>
    <t xml:space="preserve">National Devil's Food Cake Day</t>
  </si>
  <si>
    <t xml:space="preserve">Resistance Band: Lower Body Focus</t>
  </si>
  <si>
    <t xml:space="preserve">25 min on legs and core: leg extensions, hip abductions, ankle dorsi/plantar flexion. Music: jazz standards. Encourage water breaks - hydration emphasis.</t>
  </si>
  <si>
    <t xml:space="preserve">Food Section + Devil's Food Cake History</t>
  </si>
  <si>
    <t xml:space="preserve">Read food section. Brief history: Devil's Food Cake first appeared in cookbooks around 1900s, named for being so 'sinfully good.' Word scramble: DEVIL, CAKE, FROST, COCOA, RICH, MOIST, FUDGE.</t>
  </si>
  <si>
    <t xml:space="preserve">Cake &amp; Coffee Social</t>
  </si>
  <si>
    <t xml:space="preserve">Devil's Food Cake (purchased or baked by kitchen). Coffee, tea, decaf options. Live volunteer pianist if available. Resident-favorite music requests. 60 min.</t>
  </si>
  <si>
    <t xml:space="preserve">Categories: Things That Are Sweet</t>
  </si>
  <si>
    <t xml:space="preserve">Each table names sweets in 5 categories: candy, dessert, fruit, beverage, compliment ('that was sweet of you'). Lighthearted.</t>
  </si>
  <si>
    <t xml:space="preserve">Group Game: Charades (Senior Edition)</t>
  </si>
  <si>
    <t xml:space="preserve">Cards with senior-friendly clues: a famous actor, a household chore, a piece of furniture, a pet. Two teams. 45 min. MC: simplified - leader gives the answer and helps act.</t>
  </si>
  <si>
    <t xml:space="preserve">May 20</t>
  </si>
  <si>
    <t xml:space="preserve">National Pick Strawberries Day</t>
  </si>
  <si>
    <t xml:space="preserve">Strawberry Picking Movement</t>
  </si>
  <si>
    <t xml:space="preserve">Themed: bend-and-pick motions (gentle), reaching, baskets-on-hip side bends. 20 min. Music: country/folk. Honors National Pick Strawberries Day.</t>
  </si>
  <si>
    <t xml:space="preserve">Newspaper + Strawberry Recipe Read</t>
  </si>
  <si>
    <t xml:space="preserve">Read paper. Then read 3 strawberry recipe ideas aloud (shortcake, jam, smoothie). Word search: STRAW, BERRY, RED, RIPE, JAM, FIELD, PATCH, SHORTCAKE, CREAM, SUMMER.</t>
  </si>
  <si>
    <t xml:space="preserve">Strawberry Shortcake Social</t>
  </si>
  <si>
    <t xml:space="preserve">Pre-made shortcakes (or angel food cake), sliced fresh strawberries, whipped cream. Residents assemble their own. Strawberry-themed reminiscence: 'who picked strawberries growing up?' 60 min.</t>
  </si>
  <si>
    <t xml:space="preserve">'I'm red, I'm small, I have seeds on the outside. What am I?' (strawberry). 'I'm green when I grow but red when I'm ready.' (strawberry, tomato, etc.).</t>
  </si>
  <si>
    <t xml:space="preserve">Movie Night: 'Strawberry Shortcake' (animated, family-friendly) - or alt 'Ratatouille' (2007)</t>
  </si>
  <si>
    <t xml:space="preserve">Lighter pick today. Ratatouille is G, 111 min, Pixar food movie - residents love this one. MC alternative: cooking show DVD.</t>
  </si>
  <si>
    <t xml:space="preserve">May 21</t>
  </si>
  <si>
    <t xml:space="preserve">National Memo Day &amp; National Strawberries &amp; Cream Day</t>
  </si>
  <si>
    <t xml:space="preserve">Chair Yoga: Hip Openers</t>
  </si>
  <si>
    <t xml:space="preserve">Spring weather brings more walking - hips need attention. Seated figure-4 stretch, hip rocks, leg lifts. 25 min. Soft music.</t>
  </si>
  <si>
    <t xml:space="preserve">Newspaper + 'Memo to Self' Writing Activity</t>
  </si>
  <si>
    <t xml:space="preserve">National Memo Day. Read paper, then a fun activity: each resident writes a 'memo to my younger self.' One sentence. 'Dear 25-year-old me: don't worry so much.' Display memos on the bulletin board. SN: dictate to staff.</t>
  </si>
  <si>
    <t xml:space="preserve">Strawberries &amp; Cream Tea Social</t>
  </si>
  <si>
    <t xml:space="preserve">Slightly more formal afternoon: china cups, fresh strawberries with sweetened cream, shortbread. Soft Frank Sinatra-era music. 60 min. Civility and refinement.</t>
  </si>
  <si>
    <t xml:space="preserve">Trivia: Famous Memos in History</t>
  </si>
  <si>
    <t xml:space="preserve">Light: 'What famous letter from a Birmingham jail was written by MLK?' (Letter from Birmingham Jail). 'What pope wrote 95 theses?' (Martin Luther - actually he wasn't a pope; trick question).</t>
  </si>
  <si>
    <t xml:space="preserve">Group Game: Bingo with Music Themes</t>
  </si>
  <si>
    <t xml:space="preserve">Each Bingo square has a music genre or song title. As caller calls, plays a 5-second clip. 45 min. Variety of decades. Prizes.</t>
  </si>
  <si>
    <t xml:space="preserve">May 22</t>
  </si>
  <si>
    <t xml:space="preserve">National Maritime Day &amp; National Vanilla Pudding Day</t>
  </si>
  <si>
    <t xml:space="preserve">Dance Movement: Big Band &amp; Maritime Songs</t>
  </si>
  <si>
    <t xml:space="preserve">National Maritime Day. 25 min seated dance to sea-themed music: 'Beyond the Sea,' 'Sailing,' 'Yellow Submarine,' 'My Bonnie Lies Over the Ocean.' Boat-rocking side-to-side, oar-rowing arms.</t>
  </si>
  <si>
    <t xml:space="preserve">Newspaper + Maritime Day Word Search</t>
  </si>
  <si>
    <t xml:space="preserve">Read paper. Word search: SHIP, SAIL, ANCHOR, OCEAN, WAVE, CAPTAIN, BOAT, PORT, LIGHTHOUSE, COMPASS.</t>
  </si>
  <si>
    <t xml:space="preserve">Vanilla Pudding Sundae Bar</t>
  </si>
  <si>
    <t xml:space="preserve">National Vanilla Pudding Day. Vanilla pudding cups, toppings: chocolate sprinkles, whipped cream, banana slices, crushed cookies. Residents build their own sundae. 60 min. Cards available afterward.</t>
  </si>
  <si>
    <t xml:space="preserve">Categories: Things on a Boat</t>
  </si>
  <si>
    <t xml:space="preserve">Each table names: 5 things found on a boat, 5 types of fish, 5 sea creatures. Tally.</t>
  </si>
  <si>
    <t xml:space="preserve">Movie Night: 'Captains Courageous' (1937) or 'Old Man and the Sea' (1958)</t>
  </si>
  <si>
    <t xml:space="preserve">Both are NR, classic, beautiful. Captains Courageous: 117 min, family-friendly. Old Man and the Sea: 86 min, Spencer Tracy. MC alternative: aquarium video on TV with calm music.</t>
  </si>
  <si>
    <t xml:space="preserve">May 23</t>
  </si>
  <si>
    <t xml:space="preserve">National Lucky Penny Day &amp; World Turtle Day</t>
  </si>
  <si>
    <t xml:space="preserve">Walking Club: Garden + Penny Pickup</t>
  </si>
  <si>
    <t xml:space="preserve">30 min walk indoor or outdoor. Activity director pre-places shiny pennies along the route - residents 'find a lucky penny' for the day. Each resident keeps theirs. Honors Lucky Penny Day.</t>
  </si>
  <si>
    <t xml:space="preserve">Newspaper + Penny Trivia</t>
  </si>
  <si>
    <t xml:space="preserve">Read paper. Trivia: 'Whose face is on the penny?' (Lincoln). 'What year did the Lincoln penny first appear?' (1909). 'How many cents in a 1909 penny today (in collector value)?' (varies, can be hundreds). Word scramble: PENNY, COIN, LINCOLN, COPPER, CENT, LUCK.</t>
  </si>
  <si>
    <t xml:space="preserve">Turtle Day Slow-and-Steady Trivia</t>
  </si>
  <si>
    <t xml:space="preserve">World Turtle Day. Trivia + reminiscence: 'Slow and steady wins the race - what fable?' (Tortoise and the Hare). Read the fable aloud. Then trivia about slow things, patience, and how 'slow and steady' applied to residents' lives. Tea and shortbread. 60 min.</t>
  </si>
  <si>
    <t xml:space="preserve">Riddle: Lucky Things</t>
  </si>
  <si>
    <t xml:space="preserve">'I have four leaves but I'm not a tree.' (clover). 'I'm worn around your neck for luck.' (rabbit's foot). 'I'm broken on purpose for luck.' (wishbone, mirror... though broken mirror is bad luck - lighthearted discussion).</t>
  </si>
  <si>
    <t xml:space="preserve">Movie Night: 'Cocoon: The Return' (1988) - alt 'A League of Their Own' (1992)</t>
  </si>
  <si>
    <t xml:space="preserve">League of Their Own: PG, 128 min, women's baseball during WWII. Funny, feel-good. MC alternative: TV game show evening.</t>
  </si>
  <si>
    <t xml:space="preserve">May 24</t>
  </si>
  <si>
    <t xml:space="preserve">National Scavenger Hunt Day</t>
  </si>
  <si>
    <t xml:space="preserve">Sunday Stretch + Quiet Reflection</t>
  </si>
  <si>
    <t xml:space="preserve">20 min calm stretch with soft music. Honors quiet contemplation before the busy Memorial Day. Optional Bible reading or chaplain visit.</t>
  </si>
  <si>
    <t xml:space="preserve">Sunday Paper + Scavenger Hunt Word List</t>
  </si>
  <si>
    <t xml:space="preserve">National Scavenger Hunt Day. After comics, distribute a 10-item visual scavenger hunt - things to find around the facility on a walk: red flower, framed photo, wood chair, blue book, etc. Residents who can't walk can identify items in the room. Bring back to share.</t>
  </si>
  <si>
    <t xml:space="preserve">Indoor Scavenger Hunt + Ice Cream</t>
  </si>
  <si>
    <t xml:space="preserve">60-min event. Pre-planned facility scavenger hunt with helpers. Residents in pairs or with staff. Items: a green plant, a calendar, a clock showing past 2 PM, a magazine from this month, a photo of an animal. Ice cream cones at the end. SN: residents in their rooms get a 'find these items in your room' card.</t>
  </si>
  <si>
    <t xml:space="preserve">Categories: 'Things You'd Find in a Scavenger Hunt'</t>
  </si>
  <si>
    <t xml:space="preserve">Each table names items by color: 5 red things, 5 blue things, 5 yellow things.</t>
  </si>
  <si>
    <t xml:space="preserve">Movie + Card Lounge</t>
  </si>
  <si>
    <t xml:space="preserve">Sunday night quiet. Movie option: 'The Princess Bride' (1987, PG, 98 min) - appeals across generations. Cards in side lounge.</t>
  </si>
  <si>
    <t xml:space="preserve">May 25</t>
  </si>
  <si>
    <t xml:space="preserve">MEMORIAL DAY &amp; National Wine Day</t>
  </si>
  <si>
    <t xml:space="preserve">Patriotic Movement Hour</t>
  </si>
  <si>
    <t xml:space="preserve">Memorial Day. 30 min movement to patriotic music: 'God Bless America,' 'America the Beautiful,' 'You're a Grand Old Flag.' Hand on heart at start. Saluting drills for veterans. Quiet moment for those we've lost.</t>
  </si>
  <si>
    <t xml:space="preserve">Newspaper + Memorial Day Reading</t>
  </si>
  <si>
    <t xml:space="preserve">Read paper. Read 'In Flanders Fields' poem aloud. Word search: HONOR, REMEMBER, FLAG, POPPY, VETERAN, SERVICE, BRAVE, STARS, STRIPES, FREEDOM.</t>
  </si>
  <si>
    <t xml:space="preserve">Memorial Day Cookout &amp; Remembrance - SEE BONUS EVENT</t>
  </si>
  <si>
    <t xml:space="preserve">See bonus event sheet for full details. All-facility cookout 12:00-2:30 PM. Outdoor weather permitting. Moment of silence at noon. Afternoon nap encouraged for those who attended.</t>
  </si>
  <si>
    <t xml:space="preserve">Trivia: U.S. Patriotic History</t>
  </si>
  <si>
    <t xml:space="preserve">'What national holiday is the last Monday of May?' (Memorial Day). 'What flower is worn for Memorial Day?' (red poppy). 'How many stars on the flag?' (50).</t>
  </si>
  <si>
    <t xml:space="preserve">Movie Night: 'Saving Private Ryan' (Light edit) - alt 'The Notebook' (2004)</t>
  </si>
  <si>
    <t xml:space="preserve">Saving Private Ryan is intense (R, 169 min) - only show by request and prepare for emotional reactions; have staff present. Better choice for general audience: 'The Notebook' (2004, PG-13, 123 min) - love story spanning decades, Memorial Day tone of remembrance. MC alternative: USO musical playlist.</t>
  </si>
  <si>
    <t xml:space="preserve">May 26</t>
  </si>
  <si>
    <t xml:space="preserve">National Blueberry Cheesecake Day &amp; National Paper Airplane Day</t>
  </si>
  <si>
    <t xml:space="preserve">Resistance Band: Full Body Quick Routine</t>
  </si>
  <si>
    <t xml:space="preserve">25 min total-body. Recover-from-yesterday gentle pace. Music: easy listening.</t>
  </si>
  <si>
    <t xml:space="preserve">Newspaper + Paper Airplane Folding</t>
  </si>
  <si>
    <t xml:space="preserve">National Paper Airplane Day. Read paper. Then fold simple paper airplanes (basic dart, instructions printed large). Have a tabletop flight contest. SN: pre-folded planes given to throw.</t>
  </si>
  <si>
    <t xml:space="preserve">Blueberry Cheesecake Social</t>
  </si>
  <si>
    <t xml:space="preserve">Pre-made blueberry cheesecake (no-bake works fine). Coffee, tea. Reminiscence: 'who in your family made the best cheesecake?' Optional cooking demo: stirring blueberry topping. 60 min.</t>
  </si>
  <si>
    <t xml:space="preserve">'I'm small and round, I'm purple-blue, I'm packed with vitamins and good for you.' (blueberry). 'I have a paper body but I can fly.' (paper airplane).</t>
  </si>
  <si>
    <t xml:space="preserve">Group Game: Bingo + Music</t>
  </si>
  <si>
    <t xml:space="preserve">Hour of Bingo with music as the call-style. Music between rounds: light jazz.</t>
  </si>
  <si>
    <t xml:space="preserve">May 27</t>
  </si>
  <si>
    <t xml:space="preserve">National Grape Popsicle Day &amp; Sun Screen Day</t>
  </si>
  <si>
    <t xml:space="preserve">Chair Yoga: Sun Salutation Adaptation</t>
  </si>
  <si>
    <t xml:space="preserve">Bright Wednesday energy. Modified sun salutation seated: arms up reach (sun), forward fold (touch knees), big breath. Repeat x5. 25 min. Music: warm, sunny.</t>
  </si>
  <si>
    <t xml:space="preserve">Newspaper + Sun &amp; Skin Care Tips</t>
  </si>
  <si>
    <t xml:space="preserve">Sun Screen Day. Read paper. Skin care tip-share: residents share their sun and skin remedies (Pond's cold cream, Vaseline, calamine for sunburns). Word search: SUN, SKIN, HAT, SHADE, COOL, BURN, LOTION, BREEZE, PORCH, ICE.</t>
  </si>
  <si>
    <t xml:space="preserve">Grape Popsicle Outdoor Time</t>
  </si>
  <si>
    <t xml:space="preserve">If weather permits, set up a shady patio with chairs. Grape popsicles for everyone. Light music, lemonade backup, fresh air. Sunscreen check by staff. 60 min. Indoor: serve in dining room with summer music playlist.</t>
  </si>
  <si>
    <t xml:space="preserve">Categories: Summer Things</t>
  </si>
  <si>
    <t xml:space="preserve">Each table names: 5 summer foods, 5 summer activities, 5 summer drinks, 5 places you go in summer.</t>
  </si>
  <si>
    <t xml:space="preserve">Movie Night: 'Sandlot' (1993) or 'Field of Dreams' (1989)</t>
  </si>
  <si>
    <t xml:space="preserve">Field of Dreams: PG, 107 min, baseball + ghosts of fathers + tears. Sandlot: PG, 101 min, kids and baseball, lighter. Either is summer-perfect. MC alternative: baseball game on TV.</t>
  </si>
  <si>
    <t xml:space="preserve">May 28</t>
  </si>
  <si>
    <t xml:space="preserve">National Hamburger Day &amp; Senior Health &amp; Fitness Day</t>
  </si>
  <si>
    <t xml:space="preserve">Senior Health &amp; Fitness Fair Warm-Up</t>
  </si>
  <si>
    <t xml:space="preserve">Today is Senior Health &amp; Fitness Day. Quick 20 min warm-up before the fair (see bonus event May 28). Light stretching, range-of-motion.</t>
  </si>
  <si>
    <t xml:space="preserve">Newspaper + Health Tips Trivia</t>
  </si>
  <si>
    <t xml:space="preserve">Read paper. Trivia: '8 glasses of what per day?' (water). 'How many minutes of walking is recommended per day?' (~30). 'What food is called nature's candy?' (fruit). Word search: HEALTH, WATER, WALK, REST, SMILE, LAUGH, FRIEND, HOPE, JOY, PEACE.</t>
  </si>
  <si>
    <t xml:space="preserve">Senior Health &amp; Fitness Fair - SEE BONUS EVENT</t>
  </si>
  <si>
    <t xml:space="preserve">See bonus event for full details. 1:30-3:30 PM. Mini-fair stations rotation.</t>
  </si>
  <si>
    <t xml:space="preserve">Trivia: Famous Hamburger Joints</t>
  </si>
  <si>
    <t xml:space="preserve">National Hamburger Day. 'What chain has golden arches?' (McDonald's). 'In what year was the first White Castle?' (1921). 'What's a slider?' (a small burger).</t>
  </si>
  <si>
    <t xml:space="preserve">Group Game: Bingo + Burger Bar</t>
  </si>
  <si>
    <t xml:space="preserve">Bingo with mini-slider hamburgers as the snack. Light music. Prizes.</t>
  </si>
  <si>
    <t xml:space="preserve">May 29</t>
  </si>
  <si>
    <t xml:space="preserve">JFK's Birthday &amp; National Coq au Vin Day</t>
  </si>
  <si>
    <t xml:space="preserve">Dance Movement: Camelot Era</t>
  </si>
  <si>
    <t xml:space="preserve">JFK's birthday. 25 min seated dance to 1960s music (Frank Sinatra, Connie Francis, early Beatles). Glamorous Jackie Kennedy theme - elegance and grace.</t>
  </si>
  <si>
    <t xml:space="preserve">Newspaper + JFK Reminiscence Word List</t>
  </si>
  <si>
    <t xml:space="preserve">Read paper. Brief JFK history: 35th president, born 1917, Camelot era. Reminiscence prompt: 'where were you when you heard JFK was elected/shot?' Be sensitive. Word list: PRESIDENT, AMERICA, BOSTON, NAVY, INSPIRE, SPEECH, HOPE, FREEDOM.</t>
  </si>
  <si>
    <t xml:space="preserve">Old-Time Sing-Along + Snack</t>
  </si>
  <si>
    <t xml:space="preserve">60s music sing-along. 'Moon River,' 'Where Have All the Flowers Gone,' 'Sound of Silence,' 'Blowin' in the Wind.' Lyric sheets large-print. Coffee and pastries.</t>
  </si>
  <si>
    <t xml:space="preserve">Trivia: 1960s</t>
  </si>
  <si>
    <t xml:space="preserve">'What was the British band that came to America in 1964?' (Beatles). 'Who was the first man on the moon?' (Armstrong, 1969). 'What was the famous 1969 music festival?' (Woodstock).</t>
  </si>
  <si>
    <t xml:space="preserve">Movie Night: 'Hidden Figures' (2016) or 'Apollo 13' (1995)</t>
  </si>
  <si>
    <t xml:space="preserve">Hidden Figures: PG, 127 min, Black women mathematicians at NASA. Apollo 13: PG, 140 min, true story moon mission. Both 60s era. MC alternative: NASA documentary clips, 30 min.</t>
  </si>
  <si>
    <t xml:space="preserve">May 30</t>
  </si>
  <si>
    <t xml:space="preserve">National Mint Julep Day</t>
  </si>
  <si>
    <t xml:space="preserve">Saturday Morning Country Movement</t>
  </si>
  <si>
    <t xml:space="preserve">Light upbeat 25 min seated dance to Kentucky Derby + country music: 'My Old Kentucky Home,' Patsy Cline, Kenny Rogers.</t>
  </si>
  <si>
    <t xml:space="preserve">Newspaper + Mint Julep Recipe Read</t>
  </si>
  <si>
    <t xml:space="preserve">Read paper. Read mint julep recipe aloud (mint, sugar, bourbon, crushed ice - non-alcoholic version uses ginger ale). Word search: MINT, JULEP, ICE, GLASS, BOURBON, SUGAR, KENTUCKY, DERBY, ROSES, HORSE.</t>
  </si>
  <si>
    <t xml:space="preserve">Saturday Card Tournament + Mint Lemonade</t>
  </si>
  <si>
    <t xml:space="preserve">Card games at multiple tables: Skip-Bo, UNO, Bridge, Rummy. Mint lemonade (lemonade + fresh mint - non-alcoholic 'julep'). 60-90 min. Whiteboard leaderboard. Small prizes.</t>
  </si>
  <si>
    <t xml:space="preserve">'I'm green and I make your gum smell good. What am I?' (mint). 'I'm a horse race and I'm in May.' (Derby). 'I'm an old-fashioned drink in a metal cup.' (mint julep).</t>
  </si>
  <si>
    <t xml:space="preserve">Movie Night: 'Seabiscuit' (2003)</t>
  </si>
  <si>
    <t xml:space="preserve">PG-13, 140 min. True story of Depression-era racehorse and his unlikely owners + jockey. Inspirational. MC alternative: 'Mister Ed' TV episodes (talking horse).</t>
  </si>
  <si>
    <t xml:space="preserve">May 31</t>
  </si>
  <si>
    <t xml:space="preserve">National Macaroon Day</t>
  </si>
  <si>
    <t xml:space="preserve">Sunday Closing Stretch</t>
  </si>
  <si>
    <t xml:space="preserve">Last day of May. 20 min calm stretch + breathing. End with a 'thank you' moment - what was the best thing in May? Each resident shares one word.</t>
  </si>
  <si>
    <t xml:space="preserve">Sunday Comics + 'Goodbye May' Word List</t>
  </si>
  <si>
    <t xml:space="preserve">Sunday comics. Word list closing the month: MAY, MEMORY, MOTHER, MEMORIAL, BLOOM, BERRY, BREEZE, BIRD. Each resident chooses one word and shares why.</t>
  </si>
  <si>
    <t xml:space="preserve">Macaroon &amp; Tea Closing Social</t>
  </si>
  <si>
    <t xml:space="preserve">National Macaroon Day. French and coconut macaroons. Tea service. Soft music. Photo slideshow on TV: photos taken throughout May. 60 min. Prep residents for June - briefly preview next month's themes.</t>
  </si>
  <si>
    <t xml:space="preserve">Trivia: May in Review</t>
  </si>
  <si>
    <t xml:space="preserve">'What major holiday was May 25?' (Memorial Day). 'What flower is associated with May?' (lily of the valley, or rose). 'What horse race was May 2?' (Kentucky Derby).</t>
  </si>
  <si>
    <t xml:space="preserve">Movie Night (Closing the Month): 'The Sound of Music' (1965)</t>
  </si>
  <si>
    <t xml:space="preserve">G, 174 min. May is May - sing-along finale. Show in two parts if needed (but Sunday night is good for the long version). Lyrics on screen if you have a sing-along version. MC: condensed 30-min musical highlights.</t>
  </si>
  <si>
    <t xml:space="preserve">May 2026 - BONUS MONTHLY EVENTS</t>
  </si>
  <si>
    <t xml:space="preserve">Six big planned events scattered through the month - the highlights residents will remember.</t>
  </si>
  <si>
    <t xml:space="preserve">Event</t>
  </si>
  <si>
    <t xml:space="preserve">Description</t>
  </si>
  <si>
    <t xml:space="preserve">Supplies Needed</t>
  </si>
  <si>
    <t xml:space="preserve">Lead Staff</t>
  </si>
  <si>
    <t xml:space="preserve">Kentucky Derby Watch Party</t>
  </si>
  <si>
    <t xml:space="preserve">Gather residents in the activity room with a TV tuned to NBC's Derby coverage (post time around 6:45 PM ET). Set up a 'Run for the Roses' theme: red rose centerpieces, paper fancy hats for residents to decorate, mock $1 betting slips (use poker chips, no real wagering), mint juleps (mocktail or alcoholic per facility policy), and a pre-race trivia game about famous Triple Crown winners. Print a list of the entered horses so residents can pick a favorite. MC adaptation: pre-decorated hats; play 'My Old Kentucky Home' on a loop.</t>
  </si>
  <si>
    <t xml:space="preserve">TV, paper hats, ribbons/feathers/glue, red roses, mint mocktails, play money, race-day printable</t>
  </si>
  <si>
    <t xml:space="preserve">Cinco de Mayo Fiesta</t>
  </si>
  <si>
    <t xml:space="preserve">Mid-afternoon fiesta with mariachi music playlist, paper flag banners, guacamole-and-chip station (or tortilla pinwheels for soft diets), non-alcoholic agua fresca, and a piñata-style 'tap with a paddle' alternative where residents take turns tapping a hanging crepe-paper container that breaks open easily. Mexican loteria can be played as a Bingo variant - we have a printable card on the Word Game tab.</t>
  </si>
  <si>
    <t xml:space="preserve">Mariachi music, decorations, snacks, loteria cards, soft piñata</t>
  </si>
  <si>
    <t xml:space="preserve">Mother's Day Tea (Pre-celebration)</t>
  </si>
  <si>
    <t xml:space="preserve">High tea event timed before Mother's Day so visiting families can attend. Set tables with linen, china teacups, finger sandwiches (cucumber, egg salad), scones with jam, lemon bars. Live or recorded harp / piano music. Honor every female resident as a 'mother figure' regardless of biological motherhood. Hand out fresh flower corsages or boutonnieres. Have a memory book at each table where families and residents can record favorite memories of their own mothers.</t>
  </si>
  <si>
    <t xml:space="preserve">Tea service, finger foods, flowers, memory books/pens, soft music</t>
  </si>
  <si>
    <t xml:space="preserve">Armed Forces Day Honor Ceremony</t>
  </si>
  <si>
    <t xml:space="preserve">30-minute ceremony in the dining room recognizing veteran residents and staff. Display branch flags (Army, Navy, Air Force, Marines, Coast Guard, Space Force). Each veteran resident receives a hand-signed thank-you card prepared by local schoolchildren or staff in advance. Play patriotic music (anthems of each branch). Invite a local color guard or scout troop if available. Serve red, white, and blue cupcakes. Photograph each veteran for the family bulletin board.</t>
  </si>
  <si>
    <t xml:space="preserve">Flags, thank-you cards, patriotic playlist, cupcakes, camera</t>
  </si>
  <si>
    <t xml:space="preserve">Memorial Day Cookout &amp; Remembrance</t>
  </si>
  <si>
    <t xml:space="preserve">All-facility outdoor (weather permitting) or activity-room cookout. Hot dogs, hamburgers, potato salad, watermelon, lemonade, and ice cream. Live music if budget allows - otherwise a curated patriotic + 1950s-60s playlist. Brief moment of silence at noon (national tradition). Display photos of veteran residents in uniform. Outdoor games: horseshoes (lightweight rubber), corn-hole, lawn bowling. MC/SN: shaded patio seating, pinwheels and flags to hold, music focus.</t>
  </si>
  <si>
    <t xml:space="preserve">Cookout food, beverages, decorations, lawn games, sound system</t>
  </si>
  <si>
    <t xml:space="preserve">Senior Health &amp; Fitness Fair</t>
  </si>
  <si>
    <t xml:space="preserve">Half-day mini-fair with stations residents rotate through: (1) Blood pressure check by nursing staff, (2) Hand-grip strength assessment, (3) Hydration education + flavored water tasting, (4) Brain-game station with crosswords and Sudoku, (5) Chair-yoga demo. Hand out 'Health Champion' ribbons to all participants.</t>
  </si>
  <si>
    <t xml:space="preserve">BP cuff, grip dynamometer, water/fruit, puzzles, ribbons</t>
  </si>
  <si>
    <t xml:space="preserve">May 2026 HOLIDAYS &amp; FUN DAYS</t>
  </si>
  <si>
    <t xml:space="preserve">Day of Week</t>
  </si>
  <si>
    <t xml:space="preserve">RESIDENT ROSTER</t>
  </si>
  <si>
    <t xml:space="preserve">Replace placeholder names with your actual residents. Names auto-link to the Charting tab.</t>
  </si>
  <si>
    <t xml:space="preserve">#</t>
  </si>
  <si>
    <t xml:space="preserve">Resident Name</t>
  </si>
  <si>
    <t xml:space="preserve">Care Level (AL/MC/SN)</t>
  </si>
  <si>
    <t xml:space="preserve">Notes (mobility, hearing, preferences)</t>
  </si>
  <si>
    <t xml:space="preserve">Resident 1</t>
  </si>
  <si>
    <t xml:space="preserve">Resident 2</t>
  </si>
  <si>
    <t xml:space="preserve">Resident 3</t>
  </si>
  <si>
    <t xml:space="preserve">Resident 4</t>
  </si>
  <si>
    <t xml:space="preserve">Resident 5</t>
  </si>
  <si>
    <t xml:space="preserve">Resident 6</t>
  </si>
  <si>
    <t xml:space="preserve">Resident 7</t>
  </si>
  <si>
    <t xml:space="preserve">Resident 8</t>
  </si>
  <si>
    <t xml:space="preserve">Resident 9</t>
  </si>
  <si>
    <t xml:space="preserve">Resident 10</t>
  </si>
  <si>
    <t xml:space="preserve">Resident 11</t>
  </si>
  <si>
    <t xml:space="preserve">Resident 12</t>
  </si>
  <si>
    <t xml:space="preserve">Resident 13</t>
  </si>
  <si>
    <t xml:space="preserve">Resident 14</t>
  </si>
  <si>
    <t xml:space="preserve">Resident 15</t>
  </si>
  <si>
    <t xml:space="preserve">Resident 16</t>
  </si>
  <si>
    <t xml:space="preserve">Resident 17</t>
  </si>
  <si>
    <t xml:space="preserve">Resident 18</t>
  </si>
  <si>
    <t xml:space="preserve">Resident 19</t>
  </si>
  <si>
    <t xml:space="preserve">Resident 20</t>
  </si>
  <si>
    <t xml:space="preserve">PARTICIPATION CHARTING - May 2026</t>
  </si>
  <si>
    <t xml:space="preserve">Codes: A = Active   |   O = Observed   |   D = Declined   |   N/A = Not Available (room/family/ill)   |   Leave blank = No record yet</t>
  </si>
  <si>
    <t xml:space="preserve">RESIDENT</t>
  </si>
  <si>
    <t xml:space="preserve">1
Fri</t>
  </si>
  <si>
    <t xml:space="preserve">2
Sat</t>
  </si>
  <si>
    <t xml:space="preserve">3
Sun</t>
  </si>
  <si>
    <t xml:space="preserve">4
Mon</t>
  </si>
  <si>
    <t xml:space="preserve">5
Tue</t>
  </si>
  <si>
    <t xml:space="preserve">6
Wed</t>
  </si>
  <si>
    <t xml:space="preserve">7
Thu</t>
  </si>
  <si>
    <t xml:space="preserve">8
Fri</t>
  </si>
  <si>
    <t xml:space="preserve">9
Sat</t>
  </si>
  <si>
    <t xml:space="preserve">10
Sun</t>
  </si>
  <si>
    <t xml:space="preserve">11
Mon</t>
  </si>
  <si>
    <t xml:space="preserve">12
Tue</t>
  </si>
  <si>
    <t xml:space="preserve">13
Wed</t>
  </si>
  <si>
    <t xml:space="preserve">14
Thu</t>
  </si>
  <si>
    <t xml:space="preserve">15
Fri</t>
  </si>
  <si>
    <t xml:space="preserve">16
Sat</t>
  </si>
  <si>
    <t xml:space="preserve">17
Sun</t>
  </si>
  <si>
    <t xml:space="preserve">18
Mon</t>
  </si>
  <si>
    <t xml:space="preserve">19
Tue</t>
  </si>
  <si>
    <t xml:space="preserve">20
Wed</t>
  </si>
  <si>
    <t xml:space="preserve">21
Thu</t>
  </si>
  <si>
    <t xml:space="preserve">22
Fri</t>
  </si>
  <si>
    <t xml:space="preserve">23
Sat</t>
  </si>
  <si>
    <t xml:space="preserve">24
Sun</t>
  </si>
  <si>
    <t xml:space="preserve">25
Mon</t>
  </si>
  <si>
    <t xml:space="preserve">26
Tue</t>
  </si>
  <si>
    <t xml:space="preserve">27
Wed</t>
  </si>
  <si>
    <t xml:space="preserve">28
Thu</t>
  </si>
  <si>
    <t xml:space="preserve">29
Fri</t>
  </si>
  <si>
    <t xml:space="preserve">30
Sat</t>
  </si>
  <si>
    <t xml:space="preserve">31
Sun</t>
  </si>
  <si>
    <t xml:space="preserve">Total
Active</t>
  </si>
  <si>
    <t xml:space="preserve">Total
Observed</t>
  </si>
  <si>
    <t xml:space="preserve">Total
Declined</t>
  </si>
  <si>
    <t xml:space="preserve">Total
N/A</t>
  </si>
  <si>
    <t xml:space="preserve">Engagement
Rate</t>
  </si>
  <si>
    <t xml:space="preserve">Ex</t>
  </si>
  <si>
    <t xml:space="preserve">Nw</t>
  </si>
  <si>
    <t xml:space="preserve">Af</t>
  </si>
  <si>
    <t xml:space="preserve">Su</t>
  </si>
  <si>
    <t xml:space="preserve">Ev</t>
  </si>
  <si>
    <t xml:space="preserve">ACTIVITY TOTALS (Active count)</t>
  </si>
  <si>
    <t xml:space="preserve">WORD GAME LIBRARY (Reusable)</t>
  </si>
  <si>
    <t xml:space="preserve">Pull from these for newspaper word games and supper puzzles. Mix-and-match across days.</t>
  </si>
  <si>
    <t xml:space="preserve">Game / Puzzle Type</t>
  </si>
  <si>
    <t xml:space="preserve">Words / Theme</t>
  </si>
  <si>
    <t xml:space="preserve">Best Used When...</t>
  </si>
  <si>
    <t xml:space="preserve">Word Search - Spring</t>
  </si>
  <si>
    <t xml:space="preserve">BLOOM, BUD, RAIN, SUN, SOIL, SEED, GROW, GREEN, TULIP, ROSE</t>
  </si>
  <si>
    <t xml:space="preserve">Spring/garden mornings</t>
  </si>
  <si>
    <t xml:space="preserve">Word Search - Mother's Day</t>
  </si>
  <si>
    <t xml:space="preserve">MOM, LOVE, KIND, HUG, HOME, CARE, HEART, FAMILY</t>
  </si>
  <si>
    <t xml:space="preserve">Mother's Day week</t>
  </si>
  <si>
    <t xml:space="preserve">Word Search - Memorial Day</t>
  </si>
  <si>
    <t xml:space="preserve">FLAG, HONOR, BRAVE, STARS, STRIPES, POPPY, VETERAN, FREEDOM</t>
  </si>
  <si>
    <t xml:space="preserve">Memorial Day week</t>
  </si>
  <si>
    <t xml:space="preserve">Word Search - May Foods</t>
  </si>
  <si>
    <t xml:space="preserve">STRAWBERRY, PIE, BISCUIT, COOKIE, COFFEE, TEA, CAKE, JAM</t>
  </si>
  <si>
    <t xml:space="preserve">Food-themed days (any day)</t>
  </si>
  <si>
    <t xml:space="preserve">Anagram - May Words</t>
  </si>
  <si>
    <t xml:space="preserve">MAYDAY, FLOWERS, GARDEN, SUNNY, SPRING, WARM, BLOOM, FRESH</t>
  </si>
  <si>
    <t xml:space="preserve">May-themed warm-up</t>
  </si>
  <si>
    <t xml:space="preserve">Crossword - Easy May Themes</t>
  </si>
  <si>
    <t xml:space="preserve">9-12 word grid - flowers, holidays, weather</t>
  </si>
  <si>
    <t xml:space="preserve">Quiet days, focused thinkers</t>
  </si>
  <si>
    <t xml:space="preserve">Riddles - Spring</t>
  </si>
  <si>
    <t xml:space="preserve">Various - see daily plan for examples</t>
  </si>
  <si>
    <t xml:space="preserve">Light moments, supper or social</t>
  </si>
  <si>
    <t xml:space="preserve">Categories - 5 letters</t>
  </si>
  <si>
    <t xml:space="preserve">S/M/C/B/T are easiest letters</t>
  </si>
  <si>
    <t xml:space="preserve">Group icebreaker, easy fun</t>
  </si>
  <si>
    <t xml:space="preserve">Limerick Fill-Ins</t>
  </si>
  <si>
    <t xml:space="preserve">First line provided, group rhymes</t>
  </si>
  <si>
    <t xml:space="preserve">May 12 (Limerick Day) or any silly day</t>
  </si>
  <si>
    <t xml:space="preserve">Famous Sayings Match</t>
  </si>
  <si>
    <t xml:space="preserve">Match 'an apple a day...' to 'keeps the doctor away'</t>
  </si>
  <si>
    <t xml:space="preserve">Reminiscence circles</t>
  </si>
  <si>
    <t xml:space="preserve">MOVIE &amp; GROUP GAME LIBRARY</t>
  </si>
  <si>
    <t xml:space="preserve">Senior-appropriate movies (with ratings + runtimes) and group games. Spring-themed picks emphasized.</t>
  </si>
  <si>
    <t xml:space="preserve">MOVIES (Spring &amp; Year-Round Favorites)</t>
  </si>
  <si>
    <t xml:space="preserve">Title (Year)</t>
  </si>
  <si>
    <t xml:space="preserve">Rating / Runtime</t>
  </si>
  <si>
    <t xml:space="preserve">Why It Works</t>
  </si>
  <si>
    <t xml:space="preserve">Notes</t>
  </si>
  <si>
    <t xml:space="preserve">Driving Miss Daisy (1989)</t>
  </si>
  <si>
    <t xml:space="preserve">PG, 99 min</t>
  </si>
  <si>
    <t xml:space="preserve">Friendship across decades</t>
  </si>
  <si>
    <t xml:space="preserve">On Golden Pond (1981)</t>
  </si>
  <si>
    <t xml:space="preserve">PG, 109 min</t>
  </si>
  <si>
    <t xml:space="preserve">Aging couple at a summer cabin</t>
  </si>
  <si>
    <t xml:space="preserve">Fried Green Tomatoes (1991)</t>
  </si>
  <si>
    <t xml:space="preserve">PG-13, 130 min</t>
  </si>
  <si>
    <t xml:space="preserve">Southern friendship</t>
  </si>
  <si>
    <t xml:space="preserve">Steel Magnolias (1989)</t>
  </si>
  <si>
    <t xml:space="preserve">PG, 117 min</t>
  </si>
  <si>
    <t xml:space="preserve">Mother-daughter classic</t>
  </si>
  <si>
    <t xml:space="preserve">Cocoon (1985)</t>
  </si>
  <si>
    <t xml:space="preserve">PG-13, 117 min</t>
  </si>
  <si>
    <t xml:space="preserve">Seniors at a Florida home</t>
  </si>
  <si>
    <t xml:space="preserve">The Best Exotic Marigold Hotel (2011)</t>
  </si>
  <si>
    <t xml:space="preserve">PG-13, 124 min</t>
  </si>
  <si>
    <t xml:space="preserve">British seniors in India</t>
  </si>
  <si>
    <t xml:space="preserve">The Notebook (2004)</t>
  </si>
  <si>
    <t xml:space="preserve">PG-13, 123 min</t>
  </si>
  <si>
    <t xml:space="preserve">Love story spanning decades</t>
  </si>
  <si>
    <t xml:space="preserve">A League of Their Own (1992)</t>
  </si>
  <si>
    <t xml:space="preserve">PG, 128 min</t>
  </si>
  <si>
    <t xml:space="preserve">Women's WWII baseball</t>
  </si>
  <si>
    <t xml:space="preserve">Field of Dreams (1989)</t>
  </si>
  <si>
    <t xml:space="preserve">PG, 107 min</t>
  </si>
  <si>
    <t xml:space="preserve">Baseball + nostalgia</t>
  </si>
  <si>
    <t xml:space="preserve">Calendar Girls (2003)</t>
  </si>
  <si>
    <t xml:space="preserve">PG-13, 108 min</t>
  </si>
  <si>
    <t xml:space="preserve">British charity calendar</t>
  </si>
  <si>
    <t xml:space="preserve">Seabiscuit (2003)</t>
  </si>
  <si>
    <t xml:space="preserve">PG-13, 140 min</t>
  </si>
  <si>
    <t xml:space="preserve">Depression-era racehorse</t>
  </si>
  <si>
    <t xml:space="preserve">The Sound of Music (1965)</t>
  </si>
  <si>
    <t xml:space="preserve">G, 174 min</t>
  </si>
  <si>
    <t xml:space="preserve">Musical sing-along</t>
  </si>
  <si>
    <t xml:space="preserve">The Princess Bride (1987)</t>
  </si>
  <si>
    <t xml:space="preserve">PG, 98 min</t>
  </si>
  <si>
    <t xml:space="preserve">Cross-generational fairy tale</t>
  </si>
  <si>
    <t xml:space="preserve">Hello, Dolly! (1969)</t>
  </si>
  <si>
    <t xml:space="preserve">G, 146 min</t>
  </si>
  <si>
    <t xml:space="preserve">Classic musical</t>
  </si>
  <si>
    <t xml:space="preserve">Singin' in the Rain (1952)</t>
  </si>
  <si>
    <t xml:space="preserve">G, 103 min</t>
  </si>
  <si>
    <t xml:space="preserve">It's a Wonderful Life (1946)</t>
  </si>
  <si>
    <t xml:space="preserve">G, 130 min</t>
  </si>
  <si>
    <t xml:space="preserve">Anytime classic</t>
  </si>
  <si>
    <t xml:space="preserve">GROUP GAMES (Reusable Library)</t>
  </si>
  <si>
    <t xml:space="preserve">Game</t>
  </si>
  <si>
    <t xml:space="preserve">How It Works / Setup</t>
  </si>
  <si>
    <t xml:space="preserve">Bingo</t>
  </si>
  <si>
    <t xml:space="preserve">Standard senior favorite - large print cards required</t>
  </si>
  <si>
    <t xml:space="preserve">Pictionary (Senior Edition)</t>
  </si>
  <si>
    <t xml:space="preserve">Whiteboard, large markers, easy clue cards</t>
  </si>
  <si>
    <t xml:space="preserve">Charades</t>
  </si>
  <si>
    <t xml:space="preserve">Senior-friendly clue list (chores, actors, animals)</t>
  </si>
  <si>
    <t xml:space="preserve">Wheel of Fortune (DIY)</t>
  </si>
  <si>
    <t xml:space="preserve">Whiteboard version - run by activity director</t>
  </si>
  <si>
    <t xml:space="preserve">Name That Tune</t>
  </si>
  <si>
    <t xml:space="preserve">5-second clips, team scoring</t>
  </si>
  <si>
    <t xml:space="preserve">Loteria (Mexican Bingo)</t>
  </si>
  <si>
    <t xml:space="preserve">Picture cards instead of numbers</t>
  </si>
  <si>
    <t xml:space="preserve">Categories</t>
  </si>
  <si>
    <t xml:space="preserve">Letter from a hat, 4 categories per round</t>
  </si>
  <si>
    <t xml:space="preserve">Trivia (decade-themed)</t>
  </si>
  <si>
    <t xml:space="preserve">By era - 40s, 50s, 60s, 70s, 80s</t>
  </si>
  <si>
    <t xml:space="preserve">Music Bingo</t>
  </si>
  <si>
    <t xml:space="preserve">Cards with song titles instead of numbers</t>
  </si>
  <si>
    <t xml:space="preserve">Card Tournament</t>
  </si>
  <si>
    <t xml:space="preserve">Skip-Bo, UNO, Rummy, Bridge - multiple tables</t>
  </si>
  <si>
    <t xml:space="preserve">Word Scramble</t>
  </si>
  <si>
    <t xml:space="preserve">Themed (food, holidays, names)</t>
  </si>
  <si>
    <t xml:space="preserve">Memory Match</t>
  </si>
  <si>
    <t xml:space="preserve">Picture cards face-down, find pairs</t>
  </si>
  <si>
    <t xml:space="preserve">Beach Ball Toss</t>
  </si>
  <si>
    <t xml:space="preserve">Soft ball with conversation prompts written on it</t>
  </si>
  <si>
    <t xml:space="preserve">Reminiscence Circle</t>
  </si>
  <si>
    <t xml:space="preserve">Decade props passed around, share memories</t>
  </si>
</sst>
</file>

<file path=xl/styles.xml><?xml version="1.0" encoding="utf-8"?>
<styleSheet xmlns="http://schemas.openxmlformats.org/spreadsheetml/2006/main">
  <numFmts count="2">
    <numFmt numFmtId="164" formatCode="General"/>
    <numFmt numFmtId="165" formatCode="0%"/>
  </numFmts>
  <fonts count="28">
    <font>
      <sz val="11"/>
      <color theme="1"/>
      <name val="Calibri"/>
      <family val="2"/>
      <charset val="1"/>
    </font>
    <font>
      <sz val="10"/>
      <name val="Arial"/>
      <family val="0"/>
    </font>
    <font>
      <sz val="10"/>
      <name val="Arial"/>
      <family val="0"/>
    </font>
    <font>
      <sz val="10"/>
      <name val="Arial"/>
      <family val="0"/>
    </font>
    <font>
      <b val="true"/>
      <sz val="28"/>
      <color rgb="FF1F3864"/>
      <name val="Arial"/>
      <family val="0"/>
      <charset val="1"/>
    </font>
    <font>
      <b val="true"/>
      <sz val="18"/>
      <color rgb="FF2E75B6"/>
      <name val="Arial"/>
      <family val="0"/>
      <charset val="1"/>
    </font>
    <font>
      <i val="true"/>
      <sz val="12"/>
      <color rgb="FF808080"/>
      <name val="Arial"/>
      <family val="0"/>
      <charset val="1"/>
    </font>
    <font>
      <sz val="11"/>
      <name val="Arial"/>
      <family val="0"/>
      <charset val="1"/>
    </font>
    <font>
      <b val="true"/>
      <sz val="14"/>
      <color rgb="FF1F3864"/>
      <name val="Arial"/>
      <family val="0"/>
      <charset val="1"/>
    </font>
    <font>
      <b val="true"/>
      <sz val="24"/>
      <color rgb="FFFFFFFF"/>
      <name val="Arial"/>
      <family val="0"/>
      <charset val="1"/>
    </font>
    <font>
      <i val="true"/>
      <sz val="14"/>
      <color rgb="FFFFFFFF"/>
      <name val="Arial"/>
      <family val="0"/>
      <charset val="1"/>
    </font>
    <font>
      <b val="true"/>
      <sz val="11"/>
      <color rgb="FFFFFFFF"/>
      <name val="Arial"/>
      <family val="0"/>
      <charset val="1"/>
    </font>
    <font>
      <b val="true"/>
      <sz val="10"/>
      <color rgb="FF1F3864"/>
      <name val="Arial"/>
      <family val="0"/>
      <charset val="1"/>
    </font>
    <font>
      <sz val="8"/>
      <name val="Arial"/>
      <family val="0"/>
      <charset val="1"/>
    </font>
    <font>
      <i val="true"/>
      <sz val="9"/>
      <name val="Arial"/>
      <family val="0"/>
      <charset val="1"/>
    </font>
    <font>
      <b val="true"/>
      <sz val="10"/>
      <name val="Arial"/>
      <family val="0"/>
      <charset val="1"/>
    </font>
    <font>
      <sz val="10"/>
      <name val="Arial"/>
      <family val="0"/>
      <charset val="1"/>
    </font>
    <font>
      <b val="true"/>
      <sz val="18"/>
      <color rgb="FFFFFFFF"/>
      <name val="Arial"/>
      <family val="0"/>
      <charset val="1"/>
    </font>
    <font>
      <i val="true"/>
      <sz val="11"/>
      <name val="Arial"/>
      <family val="0"/>
      <charset val="1"/>
    </font>
    <font>
      <b val="true"/>
      <sz val="16"/>
      <color rgb="FFFFFFFF"/>
      <name val="Arial"/>
      <family val="0"/>
      <charset val="1"/>
    </font>
    <font>
      <i val="true"/>
      <sz val="10"/>
      <color rgb="FF808080"/>
      <name val="Arial"/>
      <family val="0"/>
      <charset val="1"/>
    </font>
    <font>
      <i val="true"/>
      <sz val="10"/>
      <name val="Arial"/>
      <family val="0"/>
      <charset val="1"/>
    </font>
    <font>
      <b val="true"/>
      <sz val="9"/>
      <color rgb="FF1F3864"/>
      <name val="Arial"/>
      <family val="0"/>
      <charset val="1"/>
    </font>
    <font>
      <b val="true"/>
      <sz val="8"/>
      <color rgb="FF808080"/>
      <name val="Arial"/>
      <family val="0"/>
      <charset val="1"/>
    </font>
    <font>
      <sz val="9"/>
      <name val="Arial"/>
      <family val="0"/>
      <charset val="1"/>
    </font>
    <font>
      <b val="true"/>
      <sz val="10"/>
      <color rgb="FFFFFFFF"/>
      <name val="Arial"/>
      <family val="0"/>
      <charset val="1"/>
    </font>
    <font>
      <b val="true"/>
      <sz val="8"/>
      <name val="Arial"/>
      <family val="0"/>
      <charset val="1"/>
    </font>
    <font>
      <b val="true"/>
      <sz val="12"/>
      <color rgb="FFFFFFFF"/>
      <name val="Arial"/>
      <family val="0"/>
      <charset val="1"/>
    </font>
  </fonts>
  <fills count="16">
    <fill>
      <patternFill patternType="none"/>
    </fill>
    <fill>
      <patternFill patternType="gray125"/>
    </fill>
    <fill>
      <patternFill patternType="solid">
        <fgColor rgb="FFD9E2F3"/>
        <bgColor rgb="FFE4DFEC"/>
      </patternFill>
    </fill>
    <fill>
      <patternFill patternType="solid">
        <fgColor rgb="FF1F3864"/>
        <bgColor rgb="FF333333"/>
      </patternFill>
    </fill>
    <fill>
      <patternFill patternType="solid">
        <fgColor rgb="FF2E75B6"/>
        <bgColor rgb="FF0066CC"/>
      </patternFill>
    </fill>
    <fill>
      <patternFill patternType="solid">
        <fgColor rgb="FFF2F2F2"/>
        <bgColor rgb="FFEAF2FB"/>
      </patternFill>
    </fill>
    <fill>
      <patternFill patternType="solid">
        <fgColor rgb="FFFFF2CC"/>
        <bgColor rgb="FFFCE4D6"/>
      </patternFill>
    </fill>
    <fill>
      <patternFill patternType="solid">
        <fgColor rgb="FFEAF2FB"/>
        <bgColor rgb="FFF2F2F2"/>
      </patternFill>
    </fill>
    <fill>
      <patternFill patternType="solid">
        <fgColor rgb="FFFFFFFF"/>
        <bgColor rgb="FFFAFAFA"/>
      </patternFill>
    </fill>
    <fill>
      <patternFill patternType="solid">
        <fgColor rgb="FFFAFAFA"/>
        <bgColor rgb="FFFFFFFF"/>
      </patternFill>
    </fill>
    <fill>
      <patternFill patternType="solid">
        <fgColor rgb="FFFFD966"/>
        <bgColor rgb="FFFFCC00"/>
      </patternFill>
    </fill>
    <fill>
      <patternFill patternType="solid">
        <fgColor rgb="FFE2EFDA"/>
        <bgColor rgb="FFDDEBF7"/>
      </patternFill>
    </fill>
    <fill>
      <patternFill patternType="solid">
        <fgColor rgb="FFFCE4D6"/>
        <bgColor rgb="FFF4E1F4"/>
      </patternFill>
    </fill>
    <fill>
      <patternFill patternType="solid">
        <fgColor rgb="FFE4DFEC"/>
        <bgColor rgb="FFD9E2F3"/>
      </patternFill>
    </fill>
    <fill>
      <patternFill patternType="solid">
        <fgColor rgb="FFDDEBF7"/>
        <bgColor rgb="FFD9E2F3"/>
      </patternFill>
    </fill>
    <fill>
      <patternFill patternType="solid">
        <fgColor rgb="FFF4E1F4"/>
        <bgColor rgb="FFE4DFEC"/>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12" fillId="10" borderId="1" xfId="0" applyFont="true" applyBorder="true" applyAlignment="true" applyProtection="false">
      <alignment horizontal="left" vertical="top" textRotation="0" wrapText="tru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left" vertical="top"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2" borderId="1" xfId="0" applyFont="true" applyBorder="true" applyAlignment="true" applyProtection="false">
      <alignment horizontal="left" vertical="top" textRotation="0" wrapText="true" indent="0" shrinkToFit="false"/>
      <protection locked="true" hidden="false"/>
    </xf>
    <xf numFmtId="164" fontId="16" fillId="6" borderId="1" xfId="0" applyFont="true" applyBorder="true" applyAlignment="true" applyProtection="false">
      <alignment horizontal="left" vertical="top"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16" fillId="13" borderId="1" xfId="0" applyFont="true" applyBorder="true" applyAlignment="true" applyProtection="false">
      <alignment horizontal="left" vertical="top" textRotation="0" wrapText="true" indent="0" shrinkToFit="false"/>
      <protection locked="true" hidden="false"/>
    </xf>
    <xf numFmtId="164" fontId="15" fillId="10" borderId="1" xfId="0" applyFont="true" applyBorder="true" applyAlignment="true" applyProtection="false">
      <alignment horizontal="left" vertical="top" textRotation="0" wrapText="tru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19" fillId="3" borderId="0"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16" fillId="7" borderId="1" xfId="0" applyFont="true" applyBorder="true" applyAlignment="true" applyProtection="false">
      <alignment horizontal="left" vertical="center" textRotation="0" wrapText="tru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20" fillId="0" borderId="0"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21" fillId="7" borderId="0" xfId="0" applyFont="true" applyBorder="true" applyAlignment="true" applyProtection="false">
      <alignment horizontal="center" vertical="center" textRotation="0" wrapText="false" indent="0" shrinkToFit="false"/>
      <protection locked="true" hidden="false"/>
    </xf>
    <xf numFmtId="164" fontId="22" fillId="11" borderId="1" xfId="0" applyFont="true" applyBorder="true" applyAlignment="true" applyProtection="false">
      <alignment horizontal="center"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4" fontId="22" fillId="12" borderId="1" xfId="0" applyFont="true" applyBorder="true" applyAlignment="true" applyProtection="false">
      <alignment horizontal="center"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22" fillId="15" borderId="1" xfId="0" applyFont="true" applyBorder="true" applyAlignment="true" applyProtection="false">
      <alignment horizontal="center" vertical="center" textRotation="0" wrapText="true" indent="0" shrinkToFit="false"/>
      <protection locked="true" hidden="false"/>
    </xf>
    <xf numFmtId="164" fontId="12" fillId="11" borderId="2" xfId="0" applyFont="true" applyBorder="true" applyAlignment="true" applyProtection="false">
      <alignment horizontal="center" vertical="center" textRotation="0" wrapText="true" indent="0"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4" fontId="12" fillId="12" borderId="2"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false" indent="0" shrinkToFit="false"/>
      <protection locked="true" hidden="false"/>
    </xf>
    <xf numFmtId="164" fontId="24" fillId="8" borderId="1" xfId="0" applyFont="true" applyBorder="true" applyAlignment="true" applyProtection="false">
      <alignment horizontal="center" vertical="center" textRotation="0" wrapText="false" indent="0" shrinkToFit="false"/>
      <protection locked="true" hidden="false"/>
    </xf>
    <xf numFmtId="164" fontId="24" fillId="9" borderId="1" xfId="0" applyFont="true" applyBorder="true" applyAlignment="true" applyProtection="false">
      <alignment horizontal="center" vertical="center" textRotation="0" wrapText="false" indent="0" shrinkToFit="false"/>
      <protection locked="true" hidden="false"/>
    </xf>
    <xf numFmtId="164" fontId="15" fillId="11"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4" fontId="15" fillId="12"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5" fontId="15" fillId="6" borderId="1" xfId="0" applyFont="true" applyBorder="true" applyAlignment="true" applyProtection="false">
      <alignment horizontal="center" vertical="center" textRotation="0" wrapText="false" indent="0" shrinkToFit="false"/>
      <protection locked="true" hidden="false"/>
    </xf>
    <xf numFmtId="164" fontId="25" fillId="3" borderId="1" xfId="0" applyFont="true" applyBorder="true" applyAlignment="true" applyProtection="false">
      <alignment horizontal="center" vertical="center" textRotation="0" wrapText="false" indent="0" shrinkToFit="false"/>
      <protection locked="true" hidden="false"/>
    </xf>
    <xf numFmtId="164" fontId="26" fillId="11" borderId="1" xfId="0" applyFont="true" applyBorder="tru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center" vertical="bottom" textRotation="0" wrapText="false" indent="0" shrinkToFit="false"/>
      <protection locked="true" hidden="false"/>
    </xf>
    <xf numFmtId="164" fontId="15" fillId="2" borderId="1" xfId="0" applyFont="true" applyBorder="true" applyAlignment="true" applyProtection="false">
      <alignment horizontal="left" vertical="top" textRotation="0" wrapText="true" indent="0" shrinkToFit="false"/>
      <protection locked="true" hidden="false"/>
    </xf>
    <xf numFmtId="164" fontId="27" fillId="4" borderId="0" xfId="0" applyFont="tru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4" fontId="11" fillId="3" borderId="3" xfId="0" applyFont="true" applyBorder="true" applyAlignment="true" applyProtection="false">
      <alignment horizontal="center" vertical="bottom" textRotation="0" wrapText="false" indent="0" shrinkToFit="false"/>
      <protection locked="true" hidden="false"/>
    </xf>
    <xf numFmtId="164" fontId="15" fillId="6" borderId="1" xfId="0" applyFont="true" applyBorder="true" applyAlignment="true" applyProtection="false">
      <alignment horizontal="left" vertical="center" textRotation="0" wrapText="false" indent="0" shrinkToFit="false"/>
      <protection locked="true" hidden="false"/>
    </xf>
    <xf numFmtId="164" fontId="16" fillId="0"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548235"/>
        <sz val="9"/>
      </font>
      <fill>
        <patternFill>
          <bgColor rgb="FFE2EFDA"/>
        </patternFill>
      </fill>
    </dxf>
    <dxf>
      <font>
        <name val="Arial"/>
        <charset val="1"/>
        <family val="0"/>
        <b val="1"/>
        <color rgb="FF2E75B6"/>
        <sz val="9"/>
      </font>
      <fill>
        <patternFill>
          <bgColor rgb="FFD9E2F3"/>
        </patternFill>
      </fill>
    </dxf>
    <dxf>
      <font>
        <name val="Arial"/>
        <charset val="1"/>
        <family val="0"/>
        <b val="1"/>
        <color rgb="FFC00000"/>
        <sz val="9"/>
      </font>
      <fill>
        <patternFill>
          <bgColor rgb="FFFCE4D6"/>
        </patternFill>
      </fill>
    </dxf>
    <dxf>
      <font>
        <name val="Arial"/>
        <charset val="1"/>
        <family val="0"/>
        <i val="1"/>
        <color rgb="FF808080"/>
        <sz val="8"/>
      </font>
      <fill>
        <patternFill>
          <bgColor rgb="FFF2F2F2"/>
        </patternFill>
      </fill>
    </dxf>
  </dxfs>
  <colors>
    <indexedColors>
      <rgbColor rgb="FF000000"/>
      <rgbColor rgb="FFFFFFFF"/>
      <rgbColor rgb="FFC00000"/>
      <rgbColor rgb="FF00FF00"/>
      <rgbColor rgb="FF0000FF"/>
      <rgbColor rgb="FFFAFAFA"/>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AF2FB"/>
      <rgbColor rgb="FFE2EFDA"/>
      <rgbColor rgb="FFFCE4D6"/>
      <rgbColor rgb="FFE4DFEC"/>
      <rgbColor rgb="FFF4E1F4"/>
      <rgbColor rgb="FFF2F2F2"/>
      <rgbColor rgb="FFFFD96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10"/>
  </cols>
  <sheetData>
    <row r="2" customFormat="false" ht="33.85" hidden="false" customHeight="false" outlineLevel="0" collapsed="false">
      <c r="B2" s="1" t="s">
        <v>0</v>
      </c>
    </row>
    <row r="3" customFormat="false" ht="22.05" hidden="false" customHeight="false" outlineLevel="0" collapsed="false">
      <c r="B3" s="2" t="s">
        <v>1</v>
      </c>
    </row>
    <row r="4" customFormat="false" ht="15" hidden="false" customHeight="false" outlineLevel="0" collapsed="false">
      <c r="B4" s="3" t="s">
        <v>2</v>
      </c>
    </row>
    <row r="6" customFormat="false" ht="60" hidden="false" customHeight="true" outlineLevel="0" collapsed="false">
      <c r="B6" s="4" t="s">
        <v>3</v>
      </c>
    </row>
    <row r="8" customFormat="false" ht="17.35" hidden="false" customHeight="false" outlineLevel="0" collapsed="false">
      <c r="B8" s="5" t="s">
        <v>4</v>
      </c>
    </row>
    <row r="9" customFormat="false" ht="31.5" hidden="false" customHeight="true" outlineLevel="0" collapsed="false">
      <c r="B9" s="6" t="s">
        <v>5</v>
      </c>
    </row>
    <row r="10" customFormat="false" ht="31.5" hidden="false" customHeight="true" outlineLevel="0" collapsed="false">
      <c r="B10" s="6" t="s">
        <v>6</v>
      </c>
    </row>
    <row r="11" customFormat="false" ht="31.5" hidden="false" customHeight="true" outlineLevel="0" collapsed="false">
      <c r="B11" s="6" t="s">
        <v>7</v>
      </c>
    </row>
    <row r="12" customFormat="false" ht="31.5" hidden="false" customHeight="true" outlineLevel="0" collapsed="false">
      <c r="B12" s="6" t="s">
        <v>8</v>
      </c>
    </row>
    <row r="13" customFormat="false" ht="31.5" hidden="false" customHeight="true" outlineLevel="0" collapsed="false">
      <c r="B13" s="6" t="s">
        <v>9</v>
      </c>
    </row>
    <row r="14" customFormat="false" ht="31.5" hidden="false" customHeight="true" outlineLevel="0" collapsed="false">
      <c r="B14" s="6" t="s">
        <v>10</v>
      </c>
    </row>
    <row r="15" customFormat="false" ht="31.5" hidden="false" customHeight="true" outlineLevel="0" collapsed="false">
      <c r="B15" s="6" t="s">
        <v>11</v>
      </c>
    </row>
    <row r="16" customFormat="false" ht="31.5" hidden="false" customHeight="true" outlineLevel="0" collapsed="false">
      <c r="B16" s="6" t="s">
        <v>12</v>
      </c>
    </row>
    <row r="18" customFormat="false" ht="17.35" hidden="false" customHeight="false" outlineLevel="0" collapsed="false">
      <c r="B18" s="5" t="s">
        <v>13</v>
      </c>
    </row>
    <row r="19" customFormat="false" ht="15" hidden="false" customHeight="false" outlineLevel="0" collapsed="false">
      <c r="B19" s="7" t="s">
        <v>14</v>
      </c>
    </row>
    <row r="20" customFormat="false" ht="15" hidden="false" customHeight="false" outlineLevel="0" collapsed="false">
      <c r="B20" s="7" t="s">
        <v>15</v>
      </c>
    </row>
    <row r="21" customFormat="false" ht="15" hidden="false" customHeight="false" outlineLevel="0" collapsed="false">
      <c r="B21" s="7" t="s">
        <v>16</v>
      </c>
    </row>
    <row r="22" customFormat="false" ht="15" hidden="false" customHeight="false" outlineLevel="0" collapsed="false">
      <c r="B22" s="7" t="s">
        <v>17</v>
      </c>
    </row>
    <row r="23" customFormat="false" ht="15" hidden="false" customHeight="false" outlineLevel="0" collapsed="false">
      <c r="B23" s="7" t="s">
        <v>18</v>
      </c>
    </row>
    <row r="25" customFormat="false" ht="17.35" hidden="false" customHeight="false" outlineLevel="0" collapsed="false">
      <c r="B25" s="5" t="s">
        <v>19</v>
      </c>
    </row>
    <row r="26" customFormat="false" ht="15" hidden="false" customHeight="false" outlineLevel="0" collapsed="false">
      <c r="B26" s="7" t="s">
        <v>20</v>
      </c>
    </row>
    <row r="27" customFormat="false" ht="15" hidden="false" customHeight="false" outlineLevel="0" collapsed="false">
      <c r="B27" s="7" t="s">
        <v>21</v>
      </c>
    </row>
    <row r="28" customFormat="false" ht="15" hidden="false" customHeight="false" outlineLevel="0" collapsed="false">
      <c r="B28" s="7" t="s">
        <v>22</v>
      </c>
    </row>
  </sheetData>
  <printOptions headings="false" gridLines="false" gridLinesSet="true" horizontalCentered="false" verticalCentered="false"/>
  <pageMargins left="0.5" right="0.5"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7" min="1" style="0" width="22"/>
  </cols>
  <sheetData>
    <row r="1" customFormat="false" ht="36" hidden="false" customHeight="true" outlineLevel="0" collapsed="false">
      <c r="A1" s="8" t="s">
        <v>23</v>
      </c>
      <c r="B1" s="8"/>
      <c r="C1" s="8"/>
      <c r="D1" s="8"/>
      <c r="E1" s="8"/>
      <c r="F1" s="8"/>
      <c r="G1" s="8"/>
    </row>
    <row r="2" customFormat="false" ht="21.75" hidden="false" customHeight="true" outlineLevel="0" collapsed="false">
      <c r="A2" s="9" t="s">
        <v>24</v>
      </c>
      <c r="B2" s="9"/>
      <c r="C2" s="9"/>
      <c r="D2" s="9"/>
      <c r="E2" s="9"/>
      <c r="F2" s="9"/>
      <c r="G2" s="9"/>
    </row>
    <row r="3" customFormat="false" ht="21.75" hidden="false" customHeight="true" outlineLevel="0" collapsed="false">
      <c r="A3" s="10" t="s">
        <v>25</v>
      </c>
      <c r="B3" s="10" t="s">
        <v>26</v>
      </c>
      <c r="C3" s="10" t="s">
        <v>27</v>
      </c>
      <c r="D3" s="10" t="s">
        <v>28</v>
      </c>
      <c r="E3" s="10" t="s">
        <v>29</v>
      </c>
      <c r="F3" s="10" t="s">
        <v>30</v>
      </c>
      <c r="G3" s="10" t="s">
        <v>31</v>
      </c>
    </row>
    <row r="4" customFormat="false" ht="21.75" hidden="false" customHeight="true" outlineLevel="0" collapsed="false">
      <c r="A4" s="11"/>
      <c r="B4" s="11"/>
      <c r="C4" s="11"/>
      <c r="D4" s="11"/>
      <c r="E4" s="12" t="s">
        <v>32</v>
      </c>
      <c r="F4" s="13" t="s">
        <v>33</v>
      </c>
      <c r="G4" s="14" t="s">
        <v>34</v>
      </c>
    </row>
    <row r="5" customFormat="false" ht="99.75" hidden="false" customHeight="true" outlineLevel="0" collapsed="false">
      <c r="A5" s="11"/>
      <c r="B5" s="11"/>
      <c r="C5" s="11"/>
      <c r="D5" s="11"/>
      <c r="E5" s="15" t="s">
        <v>35</v>
      </c>
      <c r="F5" s="16" t="s">
        <v>36</v>
      </c>
      <c r="G5" s="16" t="s">
        <v>37</v>
      </c>
    </row>
    <row r="6" customFormat="false" ht="21.75" hidden="false" customHeight="true" outlineLevel="0" collapsed="false">
      <c r="A6" s="12" t="s">
        <v>38</v>
      </c>
      <c r="B6" s="13" t="s">
        <v>39</v>
      </c>
      <c r="C6" s="12" t="s">
        <v>40</v>
      </c>
      <c r="D6" s="12" t="s">
        <v>41</v>
      </c>
      <c r="E6" s="13" t="s">
        <v>42</v>
      </c>
      <c r="F6" s="14" t="s">
        <v>43</v>
      </c>
      <c r="G6" s="17" t="s">
        <v>44</v>
      </c>
    </row>
    <row r="7" customFormat="false" ht="99.75" hidden="false" customHeight="true" outlineLevel="0" collapsed="false">
      <c r="A7" s="15" t="s">
        <v>45</v>
      </c>
      <c r="B7" s="15" t="s">
        <v>46</v>
      </c>
      <c r="C7" s="15" t="s">
        <v>47</v>
      </c>
      <c r="D7" s="15" t="s">
        <v>48</v>
      </c>
      <c r="E7" s="15" t="s">
        <v>49</v>
      </c>
      <c r="F7" s="16" t="s">
        <v>50</v>
      </c>
      <c r="G7" s="16" t="s">
        <v>51</v>
      </c>
    </row>
    <row r="8" customFormat="false" ht="21.75" hidden="false" customHeight="true" outlineLevel="0" collapsed="false">
      <c r="A8" s="12" t="s">
        <v>52</v>
      </c>
      <c r="B8" s="12" t="s">
        <v>53</v>
      </c>
      <c r="C8" s="12" t="s">
        <v>54</v>
      </c>
      <c r="D8" s="12" t="s">
        <v>55</v>
      </c>
      <c r="E8" s="12" t="s">
        <v>56</v>
      </c>
      <c r="F8" s="17" t="s">
        <v>57</v>
      </c>
      <c r="G8" s="14" t="s">
        <v>58</v>
      </c>
    </row>
    <row r="9" customFormat="false" ht="99.75" hidden="false" customHeight="true" outlineLevel="0" collapsed="false">
      <c r="A9" s="15" t="s">
        <v>59</v>
      </c>
      <c r="B9" s="15" t="s">
        <v>60</v>
      </c>
      <c r="C9" s="15" t="s">
        <v>61</v>
      </c>
      <c r="D9" s="15" t="s">
        <v>62</v>
      </c>
      <c r="E9" s="15" t="s">
        <v>63</v>
      </c>
      <c r="F9" s="16" t="s">
        <v>64</v>
      </c>
      <c r="G9" s="16" t="s">
        <v>65</v>
      </c>
    </row>
    <row r="10" customFormat="false" ht="21.75" hidden="false" customHeight="true" outlineLevel="0" collapsed="false">
      <c r="A10" s="12" t="s">
        <v>66</v>
      </c>
      <c r="B10" s="12" t="s">
        <v>67</v>
      </c>
      <c r="C10" s="12" t="s">
        <v>68</v>
      </c>
      <c r="D10" s="12" t="s">
        <v>69</v>
      </c>
      <c r="E10" s="12" t="s">
        <v>70</v>
      </c>
      <c r="F10" s="14" t="s">
        <v>71</v>
      </c>
      <c r="G10" s="14" t="s">
        <v>72</v>
      </c>
    </row>
    <row r="11" customFormat="false" ht="99.75" hidden="false" customHeight="true" outlineLevel="0" collapsed="false">
      <c r="A11" s="15" t="s">
        <v>73</v>
      </c>
      <c r="B11" s="15" t="s">
        <v>74</v>
      </c>
      <c r="C11" s="15" t="s">
        <v>75</v>
      </c>
      <c r="D11" s="15" t="s">
        <v>76</v>
      </c>
      <c r="E11" s="15" t="s">
        <v>77</v>
      </c>
      <c r="F11" s="16" t="s">
        <v>78</v>
      </c>
      <c r="G11" s="16" t="s">
        <v>79</v>
      </c>
    </row>
    <row r="12" customFormat="false" ht="21.75" hidden="false" customHeight="true" outlineLevel="0" collapsed="false">
      <c r="A12" s="17" t="s">
        <v>80</v>
      </c>
      <c r="B12" s="12" t="s">
        <v>81</v>
      </c>
      <c r="C12" s="12" t="s">
        <v>82</v>
      </c>
      <c r="D12" s="13" t="s">
        <v>83</v>
      </c>
      <c r="E12" s="12" t="s">
        <v>84</v>
      </c>
      <c r="F12" s="14" t="s">
        <v>85</v>
      </c>
      <c r="G12" s="14" t="s">
        <v>86</v>
      </c>
    </row>
    <row r="13" customFormat="false" ht="99.75" hidden="false" customHeight="true" outlineLevel="0" collapsed="false">
      <c r="A13" s="15" t="s">
        <v>87</v>
      </c>
      <c r="B13" s="15" t="s">
        <v>88</v>
      </c>
      <c r="C13" s="15" t="s">
        <v>89</v>
      </c>
      <c r="D13" s="15" t="s">
        <v>90</v>
      </c>
      <c r="E13" s="15" t="s">
        <v>91</v>
      </c>
      <c r="F13" s="16" t="s">
        <v>92</v>
      </c>
      <c r="G13" s="16" t="s">
        <v>93</v>
      </c>
    </row>
    <row r="15" customFormat="false" ht="15" hidden="false" customHeight="false" outlineLevel="0" collapsed="false">
      <c r="A15" s="18" t="s">
        <v>94</v>
      </c>
      <c r="B15" s="18"/>
      <c r="C15" s="18"/>
      <c r="D15" s="18"/>
      <c r="E15" s="18"/>
      <c r="F15" s="18"/>
      <c r="G15" s="18"/>
    </row>
  </sheetData>
  <mergeCells count="3">
    <mergeCell ref="A1:G1"/>
    <mergeCell ref="A2:G2"/>
    <mergeCell ref="A15:G15"/>
  </mergeCells>
  <printOptions headings="false" gridLines="false" gridLinesSet="true" horizontalCentered="true" verticalCentered="false"/>
  <pageMargins left="0.3" right="0.3" top="0.4" bottom="0.4"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4" min="4" style="0" width="18"/>
    <col collapsed="false" customWidth="true" hidden="false" outlineLevel="0" max="5" min="5" style="0" width="14"/>
    <col collapsed="false" customWidth="true" hidden="false" outlineLevel="0" max="6" min="6" style="0" width="35"/>
    <col collapsed="false" customWidth="true" hidden="false" outlineLevel="0" max="7" min="7" style="0" width="90"/>
  </cols>
  <sheetData>
    <row r="1" customFormat="false" ht="27.75" hidden="false" customHeight="true" outlineLevel="0" collapsed="false">
      <c r="A1" s="19" t="s">
        <v>95</v>
      </c>
      <c r="B1" s="19" t="s">
        <v>96</v>
      </c>
      <c r="C1" s="19" t="s">
        <v>97</v>
      </c>
      <c r="D1" s="19" t="s">
        <v>98</v>
      </c>
      <c r="E1" s="19" t="s">
        <v>99</v>
      </c>
      <c r="F1" s="19" t="s">
        <v>100</v>
      </c>
      <c r="G1" s="19" t="s">
        <v>101</v>
      </c>
    </row>
    <row r="2" customFormat="false" ht="42" hidden="false" customHeight="true" outlineLevel="0" collapsed="false">
      <c r="A2" s="20" t="s">
        <v>102</v>
      </c>
      <c r="B2" s="20" t="s">
        <v>103</v>
      </c>
      <c r="C2" s="20" t="s">
        <v>104</v>
      </c>
      <c r="D2" s="21" t="s">
        <v>105</v>
      </c>
      <c r="E2" s="22" t="s">
        <v>106</v>
      </c>
      <c r="F2" s="22" t="s">
        <v>107</v>
      </c>
      <c r="G2" s="22" t="s">
        <v>108</v>
      </c>
    </row>
    <row r="3" customFormat="false" ht="42" hidden="false" customHeight="true" outlineLevel="0" collapsed="false">
      <c r="A3" s="23" t="s">
        <v>102</v>
      </c>
      <c r="B3" s="23" t="s">
        <v>103</v>
      </c>
      <c r="C3" s="23" t="s">
        <v>104</v>
      </c>
      <c r="D3" s="24" t="s">
        <v>109</v>
      </c>
      <c r="E3" s="22" t="s">
        <v>110</v>
      </c>
      <c r="F3" s="22" t="s">
        <v>111</v>
      </c>
      <c r="G3" s="22" t="s">
        <v>112</v>
      </c>
    </row>
    <row r="4" customFormat="false" ht="42" hidden="false" customHeight="true" outlineLevel="0" collapsed="false">
      <c r="A4" s="23" t="s">
        <v>102</v>
      </c>
      <c r="B4" s="23" t="s">
        <v>103</v>
      </c>
      <c r="C4" s="23" t="s">
        <v>104</v>
      </c>
      <c r="D4" s="25" t="s">
        <v>113</v>
      </c>
      <c r="E4" s="22" t="s">
        <v>114</v>
      </c>
      <c r="F4" s="22" t="s">
        <v>115</v>
      </c>
      <c r="G4" s="22" t="s">
        <v>116</v>
      </c>
    </row>
    <row r="5" customFormat="false" ht="39.75" hidden="false" customHeight="true" outlineLevel="0" collapsed="false">
      <c r="A5" s="23" t="s">
        <v>102</v>
      </c>
      <c r="B5" s="23" t="s">
        <v>103</v>
      </c>
      <c r="C5" s="23" t="s">
        <v>104</v>
      </c>
      <c r="D5" s="26" t="s">
        <v>117</v>
      </c>
      <c r="E5" s="22" t="s">
        <v>118</v>
      </c>
      <c r="F5" s="22" t="s">
        <v>119</v>
      </c>
      <c r="G5" s="22" t="s">
        <v>120</v>
      </c>
    </row>
    <row r="6" customFormat="false" ht="39.75" hidden="false" customHeight="true" outlineLevel="0" collapsed="false">
      <c r="A6" s="23" t="s">
        <v>102</v>
      </c>
      <c r="B6" s="23" t="s">
        <v>103</v>
      </c>
      <c r="C6" s="23" t="s">
        <v>104</v>
      </c>
      <c r="D6" s="27" t="s">
        <v>121</v>
      </c>
      <c r="E6" s="22" t="s">
        <v>122</v>
      </c>
      <c r="F6" s="22" t="s">
        <v>123</v>
      </c>
      <c r="G6" s="22" t="s">
        <v>124</v>
      </c>
    </row>
    <row r="7" customFormat="false" ht="39.75" hidden="false" customHeight="true" outlineLevel="0" collapsed="false">
      <c r="A7" s="20" t="s">
        <v>125</v>
      </c>
      <c r="B7" s="20" t="s">
        <v>126</v>
      </c>
      <c r="C7" s="20" t="s">
        <v>127</v>
      </c>
      <c r="D7" s="21" t="s">
        <v>105</v>
      </c>
      <c r="E7" s="22" t="s">
        <v>106</v>
      </c>
      <c r="F7" s="22" t="s">
        <v>128</v>
      </c>
      <c r="G7" s="22" t="s">
        <v>129</v>
      </c>
    </row>
    <row r="8" customFormat="false" ht="39.75" hidden="false" customHeight="true" outlineLevel="0" collapsed="false">
      <c r="A8" s="23" t="s">
        <v>125</v>
      </c>
      <c r="B8" s="23" t="s">
        <v>126</v>
      </c>
      <c r="C8" s="23" t="s">
        <v>127</v>
      </c>
      <c r="D8" s="24" t="s">
        <v>109</v>
      </c>
      <c r="E8" s="22" t="s">
        <v>110</v>
      </c>
      <c r="F8" s="22" t="s">
        <v>130</v>
      </c>
      <c r="G8" s="22" t="s">
        <v>131</v>
      </c>
    </row>
    <row r="9" customFormat="false" ht="42" hidden="false" customHeight="true" outlineLevel="0" collapsed="false">
      <c r="A9" s="23" t="s">
        <v>125</v>
      </c>
      <c r="B9" s="23" t="s">
        <v>126</v>
      </c>
      <c r="C9" s="23" t="s">
        <v>127</v>
      </c>
      <c r="D9" s="25" t="s">
        <v>113</v>
      </c>
      <c r="E9" s="22" t="s">
        <v>114</v>
      </c>
      <c r="F9" s="22" t="s">
        <v>132</v>
      </c>
      <c r="G9" s="22" t="s">
        <v>133</v>
      </c>
    </row>
    <row r="10" customFormat="false" ht="39.75" hidden="false" customHeight="true" outlineLevel="0" collapsed="false">
      <c r="A10" s="23" t="s">
        <v>125</v>
      </c>
      <c r="B10" s="23" t="s">
        <v>126</v>
      </c>
      <c r="C10" s="23" t="s">
        <v>127</v>
      </c>
      <c r="D10" s="26" t="s">
        <v>117</v>
      </c>
      <c r="E10" s="22" t="s">
        <v>118</v>
      </c>
      <c r="F10" s="22" t="s">
        <v>134</v>
      </c>
      <c r="G10" s="22" t="s">
        <v>135</v>
      </c>
    </row>
    <row r="11" customFormat="false" ht="39.75" hidden="false" customHeight="true" outlineLevel="0" collapsed="false">
      <c r="A11" s="23" t="s">
        <v>125</v>
      </c>
      <c r="B11" s="23" t="s">
        <v>126</v>
      </c>
      <c r="C11" s="23" t="s">
        <v>127</v>
      </c>
      <c r="D11" s="27" t="s">
        <v>121</v>
      </c>
      <c r="E11" s="22" t="s">
        <v>122</v>
      </c>
      <c r="F11" s="22" t="s">
        <v>136</v>
      </c>
      <c r="G11" s="22" t="s">
        <v>137</v>
      </c>
    </row>
    <row r="12" customFormat="false" ht="39.75" hidden="false" customHeight="true" outlineLevel="0" collapsed="false">
      <c r="A12" s="20" t="s">
        <v>138</v>
      </c>
      <c r="B12" s="20" t="s">
        <v>139</v>
      </c>
      <c r="C12" s="20" t="s">
        <v>140</v>
      </c>
      <c r="D12" s="21" t="s">
        <v>105</v>
      </c>
      <c r="E12" s="22" t="s">
        <v>106</v>
      </c>
      <c r="F12" s="22" t="s">
        <v>141</v>
      </c>
      <c r="G12" s="22" t="s">
        <v>142</v>
      </c>
    </row>
    <row r="13" customFormat="false" ht="39.75" hidden="false" customHeight="true" outlineLevel="0" collapsed="false">
      <c r="A13" s="23" t="s">
        <v>138</v>
      </c>
      <c r="B13" s="23" t="s">
        <v>139</v>
      </c>
      <c r="C13" s="23" t="s">
        <v>140</v>
      </c>
      <c r="D13" s="24" t="s">
        <v>109</v>
      </c>
      <c r="E13" s="22" t="s">
        <v>110</v>
      </c>
      <c r="F13" s="22" t="s">
        <v>143</v>
      </c>
      <c r="G13" s="22" t="s">
        <v>144</v>
      </c>
    </row>
    <row r="14" customFormat="false" ht="42" hidden="false" customHeight="true" outlineLevel="0" collapsed="false">
      <c r="A14" s="23" t="s">
        <v>138</v>
      </c>
      <c r="B14" s="23" t="s">
        <v>139</v>
      </c>
      <c r="C14" s="23" t="s">
        <v>140</v>
      </c>
      <c r="D14" s="25" t="s">
        <v>113</v>
      </c>
      <c r="E14" s="22" t="s">
        <v>114</v>
      </c>
      <c r="F14" s="22" t="s">
        <v>145</v>
      </c>
      <c r="G14" s="22" t="s">
        <v>146</v>
      </c>
    </row>
    <row r="15" customFormat="false" ht="39.75" hidden="false" customHeight="true" outlineLevel="0" collapsed="false">
      <c r="A15" s="23" t="s">
        <v>138</v>
      </c>
      <c r="B15" s="23" t="s">
        <v>139</v>
      </c>
      <c r="C15" s="23" t="s">
        <v>140</v>
      </c>
      <c r="D15" s="26" t="s">
        <v>117</v>
      </c>
      <c r="E15" s="22" t="s">
        <v>118</v>
      </c>
      <c r="F15" s="22" t="s">
        <v>147</v>
      </c>
      <c r="G15" s="22" t="s">
        <v>148</v>
      </c>
    </row>
    <row r="16" customFormat="false" ht="39.75" hidden="false" customHeight="true" outlineLevel="0" collapsed="false">
      <c r="A16" s="23" t="s">
        <v>138</v>
      </c>
      <c r="B16" s="23" t="s">
        <v>139</v>
      </c>
      <c r="C16" s="23" t="s">
        <v>140</v>
      </c>
      <c r="D16" s="27" t="s">
        <v>121</v>
      </c>
      <c r="E16" s="22" t="s">
        <v>122</v>
      </c>
      <c r="F16" s="22" t="s">
        <v>149</v>
      </c>
      <c r="G16" s="22" t="s">
        <v>150</v>
      </c>
    </row>
    <row r="17" customFormat="false" ht="39.75" hidden="false" customHeight="true" outlineLevel="0" collapsed="false">
      <c r="A17" s="20" t="s">
        <v>151</v>
      </c>
      <c r="B17" s="20" t="s">
        <v>152</v>
      </c>
      <c r="C17" s="20" t="s">
        <v>153</v>
      </c>
      <c r="D17" s="21" t="s">
        <v>105</v>
      </c>
      <c r="E17" s="22" t="s">
        <v>106</v>
      </c>
      <c r="F17" s="22" t="s">
        <v>154</v>
      </c>
      <c r="G17" s="22" t="s">
        <v>155</v>
      </c>
    </row>
    <row r="18" customFormat="false" ht="39.75" hidden="false" customHeight="true" outlineLevel="0" collapsed="false">
      <c r="A18" s="23" t="s">
        <v>151</v>
      </c>
      <c r="B18" s="23" t="s">
        <v>152</v>
      </c>
      <c r="C18" s="23" t="s">
        <v>153</v>
      </c>
      <c r="D18" s="24" t="s">
        <v>109</v>
      </c>
      <c r="E18" s="22" t="s">
        <v>110</v>
      </c>
      <c r="F18" s="22" t="s">
        <v>156</v>
      </c>
      <c r="G18" s="22" t="s">
        <v>157</v>
      </c>
    </row>
    <row r="19" customFormat="false" ht="42" hidden="false" customHeight="true" outlineLevel="0" collapsed="false">
      <c r="A19" s="23" t="s">
        <v>151</v>
      </c>
      <c r="B19" s="23" t="s">
        <v>152</v>
      </c>
      <c r="C19" s="23" t="s">
        <v>153</v>
      </c>
      <c r="D19" s="25" t="s">
        <v>113</v>
      </c>
      <c r="E19" s="22" t="s">
        <v>114</v>
      </c>
      <c r="F19" s="22" t="s">
        <v>158</v>
      </c>
      <c r="G19" s="22" t="s">
        <v>159</v>
      </c>
    </row>
    <row r="20" customFormat="false" ht="42" hidden="false" customHeight="true" outlineLevel="0" collapsed="false">
      <c r="A20" s="23" t="s">
        <v>151</v>
      </c>
      <c r="B20" s="23" t="s">
        <v>152</v>
      </c>
      <c r="C20" s="23" t="s">
        <v>153</v>
      </c>
      <c r="D20" s="26" t="s">
        <v>117</v>
      </c>
      <c r="E20" s="22" t="s">
        <v>118</v>
      </c>
      <c r="F20" s="22" t="s">
        <v>160</v>
      </c>
      <c r="G20" s="22" t="s">
        <v>161</v>
      </c>
    </row>
    <row r="21" customFormat="false" ht="39.75" hidden="false" customHeight="true" outlineLevel="0" collapsed="false">
      <c r="A21" s="23" t="s">
        <v>151</v>
      </c>
      <c r="B21" s="23" t="s">
        <v>152</v>
      </c>
      <c r="C21" s="23" t="s">
        <v>153</v>
      </c>
      <c r="D21" s="27" t="s">
        <v>121</v>
      </c>
      <c r="E21" s="22" t="s">
        <v>122</v>
      </c>
      <c r="F21" s="22" t="s">
        <v>162</v>
      </c>
      <c r="G21" s="22" t="s">
        <v>163</v>
      </c>
    </row>
    <row r="22" customFormat="false" ht="39.75" hidden="false" customHeight="true" outlineLevel="0" collapsed="false">
      <c r="A22" s="20" t="s">
        <v>164</v>
      </c>
      <c r="B22" s="20" t="s">
        <v>165</v>
      </c>
      <c r="C22" s="20" t="s">
        <v>166</v>
      </c>
      <c r="D22" s="21" t="s">
        <v>105</v>
      </c>
      <c r="E22" s="22" t="s">
        <v>106</v>
      </c>
      <c r="F22" s="22" t="s">
        <v>167</v>
      </c>
      <c r="G22" s="22" t="s">
        <v>168</v>
      </c>
    </row>
    <row r="23" customFormat="false" ht="39.75" hidden="false" customHeight="true" outlineLevel="0" collapsed="false">
      <c r="A23" s="23" t="s">
        <v>164</v>
      </c>
      <c r="B23" s="23" t="s">
        <v>165</v>
      </c>
      <c r="C23" s="23" t="s">
        <v>166</v>
      </c>
      <c r="D23" s="24" t="s">
        <v>109</v>
      </c>
      <c r="E23" s="22" t="s">
        <v>110</v>
      </c>
      <c r="F23" s="22" t="s">
        <v>169</v>
      </c>
      <c r="G23" s="22" t="s">
        <v>170</v>
      </c>
    </row>
    <row r="24" customFormat="false" ht="39.75" hidden="false" customHeight="true" outlineLevel="0" collapsed="false">
      <c r="A24" s="23" t="s">
        <v>164</v>
      </c>
      <c r="B24" s="23" t="s">
        <v>165</v>
      </c>
      <c r="C24" s="23" t="s">
        <v>166</v>
      </c>
      <c r="D24" s="25" t="s">
        <v>113</v>
      </c>
      <c r="E24" s="22" t="s">
        <v>114</v>
      </c>
      <c r="F24" s="22" t="s">
        <v>171</v>
      </c>
      <c r="G24" s="22" t="s">
        <v>172</v>
      </c>
    </row>
    <row r="25" customFormat="false" ht="39.75" hidden="false" customHeight="true" outlineLevel="0" collapsed="false">
      <c r="A25" s="23" t="s">
        <v>164</v>
      </c>
      <c r="B25" s="23" t="s">
        <v>165</v>
      </c>
      <c r="C25" s="23" t="s">
        <v>166</v>
      </c>
      <c r="D25" s="26" t="s">
        <v>117</v>
      </c>
      <c r="E25" s="22" t="s">
        <v>118</v>
      </c>
      <c r="F25" s="22" t="s">
        <v>173</v>
      </c>
      <c r="G25" s="22" t="s">
        <v>174</v>
      </c>
    </row>
    <row r="26" customFormat="false" ht="39.75" hidden="false" customHeight="true" outlineLevel="0" collapsed="false">
      <c r="A26" s="23" t="s">
        <v>164</v>
      </c>
      <c r="B26" s="23" t="s">
        <v>165</v>
      </c>
      <c r="C26" s="23" t="s">
        <v>166</v>
      </c>
      <c r="D26" s="27" t="s">
        <v>121</v>
      </c>
      <c r="E26" s="22" t="s">
        <v>122</v>
      </c>
      <c r="F26" s="22" t="s">
        <v>175</v>
      </c>
      <c r="G26" s="22" t="s">
        <v>176</v>
      </c>
    </row>
    <row r="27" customFormat="false" ht="39.75" hidden="false" customHeight="true" outlineLevel="0" collapsed="false">
      <c r="A27" s="20" t="s">
        <v>177</v>
      </c>
      <c r="B27" s="20" t="s">
        <v>178</v>
      </c>
      <c r="C27" s="20" t="s">
        <v>179</v>
      </c>
      <c r="D27" s="21" t="s">
        <v>105</v>
      </c>
      <c r="E27" s="22" t="s">
        <v>106</v>
      </c>
      <c r="F27" s="22" t="s">
        <v>180</v>
      </c>
      <c r="G27" s="22" t="s">
        <v>181</v>
      </c>
    </row>
    <row r="28" customFormat="false" ht="39.75" hidden="false" customHeight="true" outlineLevel="0" collapsed="false">
      <c r="A28" s="23" t="s">
        <v>177</v>
      </c>
      <c r="B28" s="23" t="s">
        <v>178</v>
      </c>
      <c r="C28" s="23" t="s">
        <v>179</v>
      </c>
      <c r="D28" s="24" t="s">
        <v>109</v>
      </c>
      <c r="E28" s="22" t="s">
        <v>110</v>
      </c>
      <c r="F28" s="22" t="s">
        <v>182</v>
      </c>
      <c r="G28" s="22" t="s">
        <v>183</v>
      </c>
    </row>
    <row r="29" customFormat="false" ht="39.75" hidden="false" customHeight="true" outlineLevel="0" collapsed="false">
      <c r="A29" s="23" t="s">
        <v>177</v>
      </c>
      <c r="B29" s="23" t="s">
        <v>178</v>
      </c>
      <c r="C29" s="23" t="s">
        <v>179</v>
      </c>
      <c r="D29" s="25" t="s">
        <v>113</v>
      </c>
      <c r="E29" s="22" t="s">
        <v>114</v>
      </c>
      <c r="F29" s="22" t="s">
        <v>184</v>
      </c>
      <c r="G29" s="22" t="s">
        <v>185</v>
      </c>
    </row>
    <row r="30" customFormat="false" ht="39.75" hidden="false" customHeight="true" outlineLevel="0" collapsed="false">
      <c r="A30" s="23" t="s">
        <v>177</v>
      </c>
      <c r="B30" s="23" t="s">
        <v>178</v>
      </c>
      <c r="C30" s="23" t="s">
        <v>179</v>
      </c>
      <c r="D30" s="26" t="s">
        <v>117</v>
      </c>
      <c r="E30" s="22" t="s">
        <v>118</v>
      </c>
      <c r="F30" s="22" t="s">
        <v>186</v>
      </c>
      <c r="G30" s="22" t="s">
        <v>187</v>
      </c>
    </row>
    <row r="31" customFormat="false" ht="39.75" hidden="false" customHeight="true" outlineLevel="0" collapsed="false">
      <c r="A31" s="23" t="s">
        <v>177</v>
      </c>
      <c r="B31" s="23" t="s">
        <v>178</v>
      </c>
      <c r="C31" s="23" t="s">
        <v>179</v>
      </c>
      <c r="D31" s="27" t="s">
        <v>121</v>
      </c>
      <c r="E31" s="22" t="s">
        <v>122</v>
      </c>
      <c r="F31" s="22" t="s">
        <v>188</v>
      </c>
      <c r="G31" s="22" t="s">
        <v>189</v>
      </c>
    </row>
    <row r="32" customFormat="false" ht="39.75" hidden="false" customHeight="true" outlineLevel="0" collapsed="false">
      <c r="A32" s="20" t="s">
        <v>190</v>
      </c>
      <c r="B32" s="20" t="s">
        <v>191</v>
      </c>
      <c r="C32" s="20" t="s">
        <v>192</v>
      </c>
      <c r="D32" s="21" t="s">
        <v>105</v>
      </c>
      <c r="E32" s="22" t="s">
        <v>106</v>
      </c>
      <c r="F32" s="22" t="s">
        <v>193</v>
      </c>
      <c r="G32" s="22" t="s">
        <v>194</v>
      </c>
    </row>
    <row r="33" customFormat="false" ht="39.75" hidden="false" customHeight="true" outlineLevel="0" collapsed="false">
      <c r="A33" s="23" t="s">
        <v>190</v>
      </c>
      <c r="B33" s="23" t="s">
        <v>191</v>
      </c>
      <c r="C33" s="23" t="s">
        <v>192</v>
      </c>
      <c r="D33" s="24" t="s">
        <v>109</v>
      </c>
      <c r="E33" s="22" t="s">
        <v>110</v>
      </c>
      <c r="F33" s="22" t="s">
        <v>195</v>
      </c>
      <c r="G33" s="22" t="s">
        <v>196</v>
      </c>
    </row>
    <row r="34" customFormat="false" ht="39.75" hidden="false" customHeight="true" outlineLevel="0" collapsed="false">
      <c r="A34" s="23" t="s">
        <v>190</v>
      </c>
      <c r="B34" s="23" t="s">
        <v>191</v>
      </c>
      <c r="C34" s="23" t="s">
        <v>192</v>
      </c>
      <c r="D34" s="25" t="s">
        <v>113</v>
      </c>
      <c r="E34" s="22" t="s">
        <v>114</v>
      </c>
      <c r="F34" s="22" t="s">
        <v>197</v>
      </c>
      <c r="G34" s="22" t="s">
        <v>198</v>
      </c>
    </row>
    <row r="35" customFormat="false" ht="39.75" hidden="false" customHeight="true" outlineLevel="0" collapsed="false">
      <c r="A35" s="23" t="s">
        <v>190</v>
      </c>
      <c r="B35" s="23" t="s">
        <v>191</v>
      </c>
      <c r="C35" s="23" t="s">
        <v>192</v>
      </c>
      <c r="D35" s="26" t="s">
        <v>117</v>
      </c>
      <c r="E35" s="22" t="s">
        <v>118</v>
      </c>
      <c r="F35" s="22" t="s">
        <v>199</v>
      </c>
      <c r="G35" s="22" t="s">
        <v>200</v>
      </c>
    </row>
    <row r="36" customFormat="false" ht="39.75" hidden="false" customHeight="true" outlineLevel="0" collapsed="false">
      <c r="A36" s="23" t="s">
        <v>190</v>
      </c>
      <c r="B36" s="23" t="s">
        <v>191</v>
      </c>
      <c r="C36" s="23" t="s">
        <v>192</v>
      </c>
      <c r="D36" s="27" t="s">
        <v>121</v>
      </c>
      <c r="E36" s="22" t="s">
        <v>122</v>
      </c>
      <c r="F36" s="22" t="s">
        <v>201</v>
      </c>
      <c r="G36" s="22" t="s">
        <v>202</v>
      </c>
    </row>
    <row r="37" customFormat="false" ht="39.75" hidden="false" customHeight="true" outlineLevel="0" collapsed="false">
      <c r="A37" s="20" t="s">
        <v>203</v>
      </c>
      <c r="B37" s="20" t="s">
        <v>103</v>
      </c>
      <c r="C37" s="20" t="s">
        <v>204</v>
      </c>
      <c r="D37" s="21" t="s">
        <v>105</v>
      </c>
      <c r="E37" s="22" t="s">
        <v>106</v>
      </c>
      <c r="F37" s="22" t="s">
        <v>205</v>
      </c>
      <c r="G37" s="22" t="s">
        <v>206</v>
      </c>
    </row>
    <row r="38" customFormat="false" ht="39.75" hidden="false" customHeight="true" outlineLevel="0" collapsed="false">
      <c r="A38" s="23" t="s">
        <v>203</v>
      </c>
      <c r="B38" s="23" t="s">
        <v>103</v>
      </c>
      <c r="C38" s="23" t="s">
        <v>204</v>
      </c>
      <c r="D38" s="24" t="s">
        <v>109</v>
      </c>
      <c r="E38" s="22" t="s">
        <v>110</v>
      </c>
      <c r="F38" s="22" t="s">
        <v>207</v>
      </c>
      <c r="G38" s="22" t="s">
        <v>208</v>
      </c>
    </row>
    <row r="39" customFormat="false" ht="39.75" hidden="false" customHeight="true" outlineLevel="0" collapsed="false">
      <c r="A39" s="23" t="s">
        <v>203</v>
      </c>
      <c r="B39" s="23" t="s">
        <v>103</v>
      </c>
      <c r="C39" s="23" t="s">
        <v>204</v>
      </c>
      <c r="D39" s="25" t="s">
        <v>113</v>
      </c>
      <c r="E39" s="22" t="s">
        <v>114</v>
      </c>
      <c r="F39" s="22" t="s">
        <v>209</v>
      </c>
      <c r="G39" s="22" t="s">
        <v>210</v>
      </c>
    </row>
    <row r="40" customFormat="false" ht="39.75" hidden="false" customHeight="true" outlineLevel="0" collapsed="false">
      <c r="A40" s="23" t="s">
        <v>203</v>
      </c>
      <c r="B40" s="23" t="s">
        <v>103</v>
      </c>
      <c r="C40" s="23" t="s">
        <v>204</v>
      </c>
      <c r="D40" s="26" t="s">
        <v>117</v>
      </c>
      <c r="E40" s="22" t="s">
        <v>118</v>
      </c>
      <c r="F40" s="22" t="s">
        <v>211</v>
      </c>
      <c r="G40" s="22" t="s">
        <v>212</v>
      </c>
    </row>
    <row r="41" customFormat="false" ht="39.75" hidden="false" customHeight="true" outlineLevel="0" collapsed="false">
      <c r="A41" s="23" t="s">
        <v>203</v>
      </c>
      <c r="B41" s="23" t="s">
        <v>103</v>
      </c>
      <c r="C41" s="23" t="s">
        <v>204</v>
      </c>
      <c r="D41" s="27" t="s">
        <v>121</v>
      </c>
      <c r="E41" s="22" t="s">
        <v>122</v>
      </c>
      <c r="F41" s="22" t="s">
        <v>213</v>
      </c>
      <c r="G41" s="22" t="s">
        <v>214</v>
      </c>
    </row>
    <row r="42" customFormat="false" ht="39.75" hidden="false" customHeight="true" outlineLevel="0" collapsed="false">
      <c r="A42" s="20" t="s">
        <v>215</v>
      </c>
      <c r="B42" s="20" t="s">
        <v>126</v>
      </c>
      <c r="C42" s="20" t="s">
        <v>216</v>
      </c>
      <c r="D42" s="21" t="s">
        <v>105</v>
      </c>
      <c r="E42" s="22" t="s">
        <v>106</v>
      </c>
      <c r="F42" s="22" t="s">
        <v>217</v>
      </c>
      <c r="G42" s="22" t="s">
        <v>218</v>
      </c>
    </row>
    <row r="43" customFormat="false" ht="39.75" hidden="false" customHeight="true" outlineLevel="0" collapsed="false">
      <c r="A43" s="23" t="s">
        <v>215</v>
      </c>
      <c r="B43" s="23" t="s">
        <v>126</v>
      </c>
      <c r="C43" s="23" t="s">
        <v>216</v>
      </c>
      <c r="D43" s="24" t="s">
        <v>109</v>
      </c>
      <c r="E43" s="22" t="s">
        <v>110</v>
      </c>
      <c r="F43" s="22" t="s">
        <v>219</v>
      </c>
      <c r="G43" s="22" t="s">
        <v>220</v>
      </c>
    </row>
    <row r="44" customFormat="false" ht="39.75" hidden="false" customHeight="true" outlineLevel="0" collapsed="false">
      <c r="A44" s="23" t="s">
        <v>215</v>
      </c>
      <c r="B44" s="23" t="s">
        <v>126</v>
      </c>
      <c r="C44" s="23" t="s">
        <v>216</v>
      </c>
      <c r="D44" s="25" t="s">
        <v>113</v>
      </c>
      <c r="E44" s="22" t="s">
        <v>114</v>
      </c>
      <c r="F44" s="22" t="s">
        <v>221</v>
      </c>
      <c r="G44" s="22" t="s">
        <v>222</v>
      </c>
    </row>
    <row r="45" customFormat="false" ht="39.75" hidden="false" customHeight="true" outlineLevel="0" collapsed="false">
      <c r="A45" s="23" t="s">
        <v>215</v>
      </c>
      <c r="B45" s="23" t="s">
        <v>126</v>
      </c>
      <c r="C45" s="23" t="s">
        <v>216</v>
      </c>
      <c r="D45" s="26" t="s">
        <v>117</v>
      </c>
      <c r="E45" s="22" t="s">
        <v>118</v>
      </c>
      <c r="F45" s="22" t="s">
        <v>223</v>
      </c>
      <c r="G45" s="22" t="s">
        <v>224</v>
      </c>
    </row>
    <row r="46" customFormat="false" ht="39.75" hidden="false" customHeight="true" outlineLevel="0" collapsed="false">
      <c r="A46" s="23" t="s">
        <v>215</v>
      </c>
      <c r="B46" s="23" t="s">
        <v>126</v>
      </c>
      <c r="C46" s="23" t="s">
        <v>216</v>
      </c>
      <c r="D46" s="27" t="s">
        <v>121</v>
      </c>
      <c r="E46" s="22" t="s">
        <v>122</v>
      </c>
      <c r="F46" s="22" t="s">
        <v>225</v>
      </c>
      <c r="G46" s="22" t="s">
        <v>226</v>
      </c>
    </row>
    <row r="47" customFormat="false" ht="39.75" hidden="false" customHeight="true" outlineLevel="0" collapsed="false">
      <c r="A47" s="28" t="s">
        <v>227</v>
      </c>
      <c r="B47" s="28" t="s">
        <v>139</v>
      </c>
      <c r="C47" s="28" t="s">
        <v>228</v>
      </c>
      <c r="D47" s="21" t="s">
        <v>105</v>
      </c>
      <c r="E47" s="22" t="s">
        <v>106</v>
      </c>
      <c r="F47" s="22" t="s">
        <v>229</v>
      </c>
      <c r="G47" s="22" t="s">
        <v>230</v>
      </c>
    </row>
    <row r="48" customFormat="false" ht="39.75" hidden="false" customHeight="true" outlineLevel="0" collapsed="false">
      <c r="A48" s="23" t="s">
        <v>227</v>
      </c>
      <c r="B48" s="23" t="s">
        <v>139</v>
      </c>
      <c r="C48" s="23" t="s">
        <v>228</v>
      </c>
      <c r="D48" s="24" t="s">
        <v>109</v>
      </c>
      <c r="E48" s="22" t="s">
        <v>110</v>
      </c>
      <c r="F48" s="22" t="s">
        <v>231</v>
      </c>
      <c r="G48" s="22" t="s">
        <v>232</v>
      </c>
    </row>
    <row r="49" customFormat="false" ht="39.75" hidden="false" customHeight="true" outlineLevel="0" collapsed="false">
      <c r="A49" s="23" t="s">
        <v>227</v>
      </c>
      <c r="B49" s="23" t="s">
        <v>139</v>
      </c>
      <c r="C49" s="23" t="s">
        <v>228</v>
      </c>
      <c r="D49" s="25" t="s">
        <v>113</v>
      </c>
      <c r="E49" s="22" t="s">
        <v>114</v>
      </c>
      <c r="F49" s="22" t="s">
        <v>233</v>
      </c>
      <c r="G49" s="22" t="s">
        <v>234</v>
      </c>
    </row>
    <row r="50" customFormat="false" ht="39.75" hidden="false" customHeight="true" outlineLevel="0" collapsed="false">
      <c r="A50" s="23" t="s">
        <v>227</v>
      </c>
      <c r="B50" s="23" t="s">
        <v>139</v>
      </c>
      <c r="C50" s="23" t="s">
        <v>228</v>
      </c>
      <c r="D50" s="26" t="s">
        <v>117</v>
      </c>
      <c r="E50" s="22" t="s">
        <v>118</v>
      </c>
      <c r="F50" s="22" t="s">
        <v>235</v>
      </c>
      <c r="G50" s="22" t="s">
        <v>236</v>
      </c>
    </row>
    <row r="51" customFormat="false" ht="39.75" hidden="false" customHeight="true" outlineLevel="0" collapsed="false">
      <c r="A51" s="23" t="s">
        <v>227</v>
      </c>
      <c r="B51" s="23" t="s">
        <v>139</v>
      </c>
      <c r="C51" s="23" t="s">
        <v>228</v>
      </c>
      <c r="D51" s="27" t="s">
        <v>121</v>
      </c>
      <c r="E51" s="22" t="s">
        <v>122</v>
      </c>
      <c r="F51" s="22" t="s">
        <v>237</v>
      </c>
      <c r="G51" s="22" t="s">
        <v>238</v>
      </c>
    </row>
    <row r="52" customFormat="false" ht="39.75" hidden="false" customHeight="true" outlineLevel="0" collapsed="false">
      <c r="A52" s="20" t="s">
        <v>239</v>
      </c>
      <c r="B52" s="20" t="s">
        <v>152</v>
      </c>
      <c r="C52" s="20" t="s">
        <v>240</v>
      </c>
      <c r="D52" s="21" t="s">
        <v>105</v>
      </c>
      <c r="E52" s="22" t="s">
        <v>106</v>
      </c>
      <c r="F52" s="22" t="s">
        <v>241</v>
      </c>
      <c r="G52" s="22" t="s">
        <v>242</v>
      </c>
    </row>
    <row r="53" customFormat="false" ht="39.75" hidden="false" customHeight="true" outlineLevel="0" collapsed="false">
      <c r="A53" s="23" t="s">
        <v>239</v>
      </c>
      <c r="B53" s="23" t="s">
        <v>152</v>
      </c>
      <c r="C53" s="23" t="s">
        <v>240</v>
      </c>
      <c r="D53" s="24" t="s">
        <v>109</v>
      </c>
      <c r="E53" s="22" t="s">
        <v>110</v>
      </c>
      <c r="F53" s="22" t="s">
        <v>243</v>
      </c>
      <c r="G53" s="22" t="s">
        <v>244</v>
      </c>
    </row>
    <row r="54" customFormat="false" ht="39.75" hidden="false" customHeight="true" outlineLevel="0" collapsed="false">
      <c r="A54" s="23" t="s">
        <v>239</v>
      </c>
      <c r="B54" s="23" t="s">
        <v>152</v>
      </c>
      <c r="C54" s="23" t="s">
        <v>240</v>
      </c>
      <c r="D54" s="25" t="s">
        <v>113</v>
      </c>
      <c r="E54" s="22" t="s">
        <v>114</v>
      </c>
      <c r="F54" s="22" t="s">
        <v>245</v>
      </c>
      <c r="G54" s="22" t="s">
        <v>246</v>
      </c>
    </row>
    <row r="55" customFormat="false" ht="39.75" hidden="false" customHeight="true" outlineLevel="0" collapsed="false">
      <c r="A55" s="23" t="s">
        <v>239</v>
      </c>
      <c r="B55" s="23" t="s">
        <v>152</v>
      </c>
      <c r="C55" s="23" t="s">
        <v>240</v>
      </c>
      <c r="D55" s="26" t="s">
        <v>117</v>
      </c>
      <c r="E55" s="22" t="s">
        <v>118</v>
      </c>
      <c r="F55" s="22" t="s">
        <v>247</v>
      </c>
      <c r="G55" s="22" t="s">
        <v>248</v>
      </c>
    </row>
    <row r="56" customFormat="false" ht="39.75" hidden="false" customHeight="true" outlineLevel="0" collapsed="false">
      <c r="A56" s="23" t="s">
        <v>239</v>
      </c>
      <c r="B56" s="23" t="s">
        <v>152</v>
      </c>
      <c r="C56" s="23" t="s">
        <v>240</v>
      </c>
      <c r="D56" s="27" t="s">
        <v>121</v>
      </c>
      <c r="E56" s="22" t="s">
        <v>122</v>
      </c>
      <c r="F56" s="22" t="s">
        <v>249</v>
      </c>
      <c r="G56" s="22" t="s">
        <v>250</v>
      </c>
    </row>
    <row r="57" customFormat="false" ht="39.75" hidden="false" customHeight="true" outlineLevel="0" collapsed="false">
      <c r="A57" s="20" t="s">
        <v>251</v>
      </c>
      <c r="B57" s="20" t="s">
        <v>165</v>
      </c>
      <c r="C57" s="20" t="s">
        <v>252</v>
      </c>
      <c r="D57" s="21" t="s">
        <v>105</v>
      </c>
      <c r="E57" s="22" t="s">
        <v>106</v>
      </c>
      <c r="F57" s="22" t="s">
        <v>253</v>
      </c>
      <c r="G57" s="22" t="s">
        <v>254</v>
      </c>
    </row>
    <row r="58" customFormat="false" ht="39.75" hidden="false" customHeight="true" outlineLevel="0" collapsed="false">
      <c r="A58" s="23" t="s">
        <v>251</v>
      </c>
      <c r="B58" s="23" t="s">
        <v>165</v>
      </c>
      <c r="C58" s="23" t="s">
        <v>252</v>
      </c>
      <c r="D58" s="24" t="s">
        <v>109</v>
      </c>
      <c r="E58" s="22" t="s">
        <v>110</v>
      </c>
      <c r="F58" s="22" t="s">
        <v>255</v>
      </c>
      <c r="G58" s="22" t="s">
        <v>256</v>
      </c>
    </row>
    <row r="59" customFormat="false" ht="39.75" hidden="false" customHeight="true" outlineLevel="0" collapsed="false">
      <c r="A59" s="23" t="s">
        <v>251</v>
      </c>
      <c r="B59" s="23" t="s">
        <v>165</v>
      </c>
      <c r="C59" s="23" t="s">
        <v>252</v>
      </c>
      <c r="D59" s="25" t="s">
        <v>113</v>
      </c>
      <c r="E59" s="22" t="s">
        <v>114</v>
      </c>
      <c r="F59" s="22" t="s">
        <v>257</v>
      </c>
      <c r="G59" s="22" t="s">
        <v>258</v>
      </c>
    </row>
    <row r="60" customFormat="false" ht="39.75" hidden="false" customHeight="true" outlineLevel="0" collapsed="false">
      <c r="A60" s="23" t="s">
        <v>251</v>
      </c>
      <c r="B60" s="23" t="s">
        <v>165</v>
      </c>
      <c r="C60" s="23" t="s">
        <v>252</v>
      </c>
      <c r="D60" s="26" t="s">
        <v>117</v>
      </c>
      <c r="E60" s="22" t="s">
        <v>118</v>
      </c>
      <c r="F60" s="22" t="s">
        <v>259</v>
      </c>
      <c r="G60" s="22" t="s">
        <v>260</v>
      </c>
    </row>
    <row r="61" customFormat="false" ht="39.75" hidden="false" customHeight="true" outlineLevel="0" collapsed="false">
      <c r="A61" s="23" t="s">
        <v>251</v>
      </c>
      <c r="B61" s="23" t="s">
        <v>165</v>
      </c>
      <c r="C61" s="23" t="s">
        <v>252</v>
      </c>
      <c r="D61" s="27" t="s">
        <v>121</v>
      </c>
      <c r="E61" s="22" t="s">
        <v>122</v>
      </c>
      <c r="F61" s="22" t="s">
        <v>261</v>
      </c>
      <c r="G61" s="22" t="s">
        <v>262</v>
      </c>
    </row>
    <row r="62" customFormat="false" ht="39.75" hidden="false" customHeight="true" outlineLevel="0" collapsed="false">
      <c r="A62" s="20" t="s">
        <v>263</v>
      </c>
      <c r="B62" s="20" t="s">
        <v>178</v>
      </c>
      <c r="C62" s="20" t="s">
        <v>264</v>
      </c>
      <c r="D62" s="21" t="s">
        <v>105</v>
      </c>
      <c r="E62" s="22" t="s">
        <v>106</v>
      </c>
      <c r="F62" s="22" t="s">
        <v>265</v>
      </c>
      <c r="G62" s="22" t="s">
        <v>266</v>
      </c>
    </row>
    <row r="63" customFormat="false" ht="39.75" hidden="false" customHeight="true" outlineLevel="0" collapsed="false">
      <c r="A63" s="23" t="s">
        <v>263</v>
      </c>
      <c r="B63" s="23" t="s">
        <v>178</v>
      </c>
      <c r="C63" s="23" t="s">
        <v>264</v>
      </c>
      <c r="D63" s="24" t="s">
        <v>109</v>
      </c>
      <c r="E63" s="22" t="s">
        <v>110</v>
      </c>
      <c r="F63" s="22" t="s">
        <v>267</v>
      </c>
      <c r="G63" s="22" t="s">
        <v>268</v>
      </c>
    </row>
    <row r="64" customFormat="false" ht="39.75" hidden="false" customHeight="true" outlineLevel="0" collapsed="false">
      <c r="A64" s="23" t="s">
        <v>263</v>
      </c>
      <c r="B64" s="23" t="s">
        <v>178</v>
      </c>
      <c r="C64" s="23" t="s">
        <v>264</v>
      </c>
      <c r="D64" s="25" t="s">
        <v>113</v>
      </c>
      <c r="E64" s="22" t="s">
        <v>114</v>
      </c>
      <c r="F64" s="22" t="s">
        <v>269</v>
      </c>
      <c r="G64" s="22" t="s">
        <v>270</v>
      </c>
    </row>
    <row r="65" customFormat="false" ht="42" hidden="false" customHeight="true" outlineLevel="0" collapsed="false">
      <c r="A65" s="23" t="s">
        <v>263</v>
      </c>
      <c r="B65" s="23" t="s">
        <v>178</v>
      </c>
      <c r="C65" s="23" t="s">
        <v>264</v>
      </c>
      <c r="D65" s="26" t="s">
        <v>117</v>
      </c>
      <c r="E65" s="22" t="s">
        <v>118</v>
      </c>
      <c r="F65" s="22" t="s">
        <v>271</v>
      </c>
      <c r="G65" s="22" t="s">
        <v>272</v>
      </c>
    </row>
    <row r="66" customFormat="false" ht="39.75" hidden="false" customHeight="true" outlineLevel="0" collapsed="false">
      <c r="A66" s="23" t="s">
        <v>263</v>
      </c>
      <c r="B66" s="23" t="s">
        <v>178</v>
      </c>
      <c r="C66" s="23" t="s">
        <v>264</v>
      </c>
      <c r="D66" s="27" t="s">
        <v>121</v>
      </c>
      <c r="E66" s="22" t="s">
        <v>122</v>
      </c>
      <c r="F66" s="22" t="s">
        <v>273</v>
      </c>
      <c r="G66" s="22" t="s">
        <v>274</v>
      </c>
    </row>
    <row r="67" customFormat="false" ht="39.75" hidden="false" customHeight="true" outlineLevel="0" collapsed="false">
      <c r="A67" s="20" t="s">
        <v>275</v>
      </c>
      <c r="B67" s="20" t="s">
        <v>191</v>
      </c>
      <c r="C67" s="20" t="s">
        <v>276</v>
      </c>
      <c r="D67" s="21" t="s">
        <v>105</v>
      </c>
      <c r="E67" s="22" t="s">
        <v>106</v>
      </c>
      <c r="F67" s="22" t="s">
        <v>277</v>
      </c>
      <c r="G67" s="22" t="s">
        <v>278</v>
      </c>
    </row>
    <row r="68" customFormat="false" ht="39.75" hidden="false" customHeight="true" outlineLevel="0" collapsed="false">
      <c r="A68" s="23" t="s">
        <v>275</v>
      </c>
      <c r="B68" s="23" t="s">
        <v>191</v>
      </c>
      <c r="C68" s="23" t="s">
        <v>276</v>
      </c>
      <c r="D68" s="24" t="s">
        <v>109</v>
      </c>
      <c r="E68" s="22" t="s">
        <v>110</v>
      </c>
      <c r="F68" s="22" t="s">
        <v>279</v>
      </c>
      <c r="G68" s="22" t="s">
        <v>280</v>
      </c>
    </row>
    <row r="69" customFormat="false" ht="39.75" hidden="false" customHeight="true" outlineLevel="0" collapsed="false">
      <c r="A69" s="23" t="s">
        <v>275</v>
      </c>
      <c r="B69" s="23" t="s">
        <v>191</v>
      </c>
      <c r="C69" s="23" t="s">
        <v>276</v>
      </c>
      <c r="D69" s="25" t="s">
        <v>113</v>
      </c>
      <c r="E69" s="22" t="s">
        <v>114</v>
      </c>
      <c r="F69" s="22" t="s">
        <v>281</v>
      </c>
      <c r="G69" s="22" t="s">
        <v>282</v>
      </c>
    </row>
    <row r="70" customFormat="false" ht="39.75" hidden="false" customHeight="true" outlineLevel="0" collapsed="false">
      <c r="A70" s="23" t="s">
        <v>275</v>
      </c>
      <c r="B70" s="23" t="s">
        <v>191</v>
      </c>
      <c r="C70" s="23" t="s">
        <v>276</v>
      </c>
      <c r="D70" s="26" t="s">
        <v>117</v>
      </c>
      <c r="E70" s="22" t="s">
        <v>118</v>
      </c>
      <c r="F70" s="22" t="s">
        <v>283</v>
      </c>
      <c r="G70" s="22" t="s">
        <v>284</v>
      </c>
    </row>
    <row r="71" customFormat="false" ht="39.75" hidden="false" customHeight="true" outlineLevel="0" collapsed="false">
      <c r="A71" s="23" t="s">
        <v>275</v>
      </c>
      <c r="B71" s="23" t="s">
        <v>191</v>
      </c>
      <c r="C71" s="23" t="s">
        <v>276</v>
      </c>
      <c r="D71" s="27" t="s">
        <v>121</v>
      </c>
      <c r="E71" s="22" t="s">
        <v>122</v>
      </c>
      <c r="F71" s="22" t="s">
        <v>285</v>
      </c>
      <c r="G71" s="22" t="s">
        <v>286</v>
      </c>
    </row>
    <row r="72" customFormat="false" ht="39.75" hidden="false" customHeight="true" outlineLevel="0" collapsed="false">
      <c r="A72" s="20" t="s">
        <v>287</v>
      </c>
      <c r="B72" s="20" t="s">
        <v>103</v>
      </c>
      <c r="C72" s="20" t="s">
        <v>288</v>
      </c>
      <c r="D72" s="21" t="s">
        <v>105</v>
      </c>
      <c r="E72" s="22" t="s">
        <v>106</v>
      </c>
      <c r="F72" s="22" t="s">
        <v>289</v>
      </c>
      <c r="G72" s="22" t="s">
        <v>290</v>
      </c>
    </row>
    <row r="73" customFormat="false" ht="39.75" hidden="false" customHeight="true" outlineLevel="0" collapsed="false">
      <c r="A73" s="23" t="s">
        <v>287</v>
      </c>
      <c r="B73" s="23" t="s">
        <v>103</v>
      </c>
      <c r="C73" s="23" t="s">
        <v>288</v>
      </c>
      <c r="D73" s="24" t="s">
        <v>109</v>
      </c>
      <c r="E73" s="22" t="s">
        <v>110</v>
      </c>
      <c r="F73" s="22" t="s">
        <v>291</v>
      </c>
      <c r="G73" s="22" t="s">
        <v>292</v>
      </c>
    </row>
    <row r="74" customFormat="false" ht="39.75" hidden="false" customHeight="true" outlineLevel="0" collapsed="false">
      <c r="A74" s="23" t="s">
        <v>287</v>
      </c>
      <c r="B74" s="23" t="s">
        <v>103</v>
      </c>
      <c r="C74" s="23" t="s">
        <v>288</v>
      </c>
      <c r="D74" s="25" t="s">
        <v>113</v>
      </c>
      <c r="E74" s="22" t="s">
        <v>114</v>
      </c>
      <c r="F74" s="22" t="s">
        <v>293</v>
      </c>
      <c r="G74" s="22" t="s">
        <v>294</v>
      </c>
    </row>
    <row r="75" customFormat="false" ht="39.75" hidden="false" customHeight="true" outlineLevel="0" collapsed="false">
      <c r="A75" s="23" t="s">
        <v>287</v>
      </c>
      <c r="B75" s="23" t="s">
        <v>103</v>
      </c>
      <c r="C75" s="23" t="s">
        <v>288</v>
      </c>
      <c r="D75" s="26" t="s">
        <v>117</v>
      </c>
      <c r="E75" s="22" t="s">
        <v>118</v>
      </c>
      <c r="F75" s="22" t="s">
        <v>295</v>
      </c>
      <c r="G75" s="22" t="s">
        <v>296</v>
      </c>
    </row>
    <row r="76" customFormat="false" ht="39.75" hidden="false" customHeight="true" outlineLevel="0" collapsed="false">
      <c r="A76" s="23" t="s">
        <v>287</v>
      </c>
      <c r="B76" s="23" t="s">
        <v>103</v>
      </c>
      <c r="C76" s="23" t="s">
        <v>288</v>
      </c>
      <c r="D76" s="27" t="s">
        <v>121</v>
      </c>
      <c r="E76" s="22" t="s">
        <v>122</v>
      </c>
      <c r="F76" s="22" t="s">
        <v>297</v>
      </c>
      <c r="G76" s="22" t="s">
        <v>298</v>
      </c>
    </row>
    <row r="77" customFormat="false" ht="39.75" hidden="false" customHeight="true" outlineLevel="0" collapsed="false">
      <c r="A77" s="28" t="s">
        <v>299</v>
      </c>
      <c r="B77" s="28" t="s">
        <v>126</v>
      </c>
      <c r="C77" s="28" t="s">
        <v>300</v>
      </c>
      <c r="D77" s="21" t="s">
        <v>105</v>
      </c>
      <c r="E77" s="22" t="s">
        <v>106</v>
      </c>
      <c r="F77" s="22" t="s">
        <v>301</v>
      </c>
      <c r="G77" s="22" t="s">
        <v>302</v>
      </c>
    </row>
    <row r="78" customFormat="false" ht="39.75" hidden="false" customHeight="true" outlineLevel="0" collapsed="false">
      <c r="A78" s="23" t="s">
        <v>299</v>
      </c>
      <c r="B78" s="23" t="s">
        <v>126</v>
      </c>
      <c r="C78" s="23" t="s">
        <v>300</v>
      </c>
      <c r="D78" s="24" t="s">
        <v>109</v>
      </c>
      <c r="E78" s="22" t="s">
        <v>110</v>
      </c>
      <c r="F78" s="22" t="s">
        <v>303</v>
      </c>
      <c r="G78" s="22" t="s">
        <v>304</v>
      </c>
    </row>
    <row r="79" customFormat="false" ht="39.75" hidden="false" customHeight="true" outlineLevel="0" collapsed="false">
      <c r="A79" s="23" t="s">
        <v>299</v>
      </c>
      <c r="B79" s="23" t="s">
        <v>126</v>
      </c>
      <c r="C79" s="23" t="s">
        <v>300</v>
      </c>
      <c r="D79" s="25" t="s">
        <v>113</v>
      </c>
      <c r="E79" s="22" t="s">
        <v>114</v>
      </c>
      <c r="F79" s="22" t="s">
        <v>305</v>
      </c>
      <c r="G79" s="22" t="s">
        <v>306</v>
      </c>
    </row>
    <row r="80" customFormat="false" ht="39.75" hidden="false" customHeight="true" outlineLevel="0" collapsed="false">
      <c r="A80" s="23" t="s">
        <v>299</v>
      </c>
      <c r="B80" s="23" t="s">
        <v>126</v>
      </c>
      <c r="C80" s="23" t="s">
        <v>300</v>
      </c>
      <c r="D80" s="26" t="s">
        <v>117</v>
      </c>
      <c r="E80" s="22" t="s">
        <v>118</v>
      </c>
      <c r="F80" s="22" t="s">
        <v>307</v>
      </c>
      <c r="G80" s="22" t="s">
        <v>308</v>
      </c>
    </row>
    <row r="81" customFormat="false" ht="39.75" hidden="false" customHeight="true" outlineLevel="0" collapsed="false">
      <c r="A81" s="23" t="s">
        <v>299</v>
      </c>
      <c r="B81" s="23" t="s">
        <v>126</v>
      </c>
      <c r="C81" s="23" t="s">
        <v>300</v>
      </c>
      <c r="D81" s="27" t="s">
        <v>121</v>
      </c>
      <c r="E81" s="22" t="s">
        <v>122</v>
      </c>
      <c r="F81" s="22" t="s">
        <v>309</v>
      </c>
      <c r="G81" s="22" t="s">
        <v>310</v>
      </c>
    </row>
    <row r="82" customFormat="false" ht="39.75" hidden="false" customHeight="true" outlineLevel="0" collapsed="false">
      <c r="A82" s="20" t="s">
        <v>311</v>
      </c>
      <c r="B82" s="20" t="s">
        <v>139</v>
      </c>
      <c r="C82" s="20" t="s">
        <v>312</v>
      </c>
      <c r="D82" s="21" t="s">
        <v>105</v>
      </c>
      <c r="E82" s="22" t="s">
        <v>106</v>
      </c>
      <c r="F82" s="22" t="s">
        <v>313</v>
      </c>
      <c r="G82" s="22" t="s">
        <v>314</v>
      </c>
    </row>
    <row r="83" customFormat="false" ht="39.75" hidden="false" customHeight="true" outlineLevel="0" collapsed="false">
      <c r="A83" s="23" t="s">
        <v>311</v>
      </c>
      <c r="B83" s="23" t="s">
        <v>139</v>
      </c>
      <c r="C83" s="23" t="s">
        <v>312</v>
      </c>
      <c r="D83" s="24" t="s">
        <v>109</v>
      </c>
      <c r="E83" s="22" t="s">
        <v>110</v>
      </c>
      <c r="F83" s="22" t="s">
        <v>315</v>
      </c>
      <c r="G83" s="22" t="s">
        <v>316</v>
      </c>
    </row>
    <row r="84" customFormat="false" ht="39.75" hidden="false" customHeight="true" outlineLevel="0" collapsed="false">
      <c r="A84" s="23" t="s">
        <v>311</v>
      </c>
      <c r="B84" s="23" t="s">
        <v>139</v>
      </c>
      <c r="C84" s="23" t="s">
        <v>312</v>
      </c>
      <c r="D84" s="25" t="s">
        <v>113</v>
      </c>
      <c r="E84" s="22" t="s">
        <v>114</v>
      </c>
      <c r="F84" s="22" t="s">
        <v>317</v>
      </c>
      <c r="G84" s="22" t="s">
        <v>318</v>
      </c>
    </row>
    <row r="85" customFormat="false" ht="39.75" hidden="false" customHeight="true" outlineLevel="0" collapsed="false">
      <c r="A85" s="23" t="s">
        <v>311</v>
      </c>
      <c r="B85" s="23" t="s">
        <v>139</v>
      </c>
      <c r="C85" s="23" t="s">
        <v>312</v>
      </c>
      <c r="D85" s="26" t="s">
        <v>117</v>
      </c>
      <c r="E85" s="22" t="s">
        <v>118</v>
      </c>
      <c r="F85" s="22" t="s">
        <v>319</v>
      </c>
      <c r="G85" s="22" t="s">
        <v>320</v>
      </c>
    </row>
    <row r="86" customFormat="false" ht="39.75" hidden="false" customHeight="true" outlineLevel="0" collapsed="false">
      <c r="A86" s="23" t="s">
        <v>311</v>
      </c>
      <c r="B86" s="23" t="s">
        <v>139</v>
      </c>
      <c r="C86" s="23" t="s">
        <v>312</v>
      </c>
      <c r="D86" s="27" t="s">
        <v>121</v>
      </c>
      <c r="E86" s="22" t="s">
        <v>122</v>
      </c>
      <c r="F86" s="22" t="s">
        <v>321</v>
      </c>
      <c r="G86" s="22" t="s">
        <v>322</v>
      </c>
    </row>
    <row r="87" customFormat="false" ht="39.75" hidden="false" customHeight="true" outlineLevel="0" collapsed="false">
      <c r="A87" s="20" t="s">
        <v>323</v>
      </c>
      <c r="B87" s="20" t="s">
        <v>152</v>
      </c>
      <c r="C87" s="20" t="s">
        <v>324</v>
      </c>
      <c r="D87" s="21" t="s">
        <v>105</v>
      </c>
      <c r="E87" s="22" t="s">
        <v>106</v>
      </c>
      <c r="F87" s="22" t="s">
        <v>325</v>
      </c>
      <c r="G87" s="22" t="s">
        <v>326</v>
      </c>
    </row>
    <row r="88" customFormat="false" ht="39.75" hidden="false" customHeight="true" outlineLevel="0" collapsed="false">
      <c r="A88" s="23" t="s">
        <v>323</v>
      </c>
      <c r="B88" s="23" t="s">
        <v>152</v>
      </c>
      <c r="C88" s="23" t="s">
        <v>324</v>
      </c>
      <c r="D88" s="24" t="s">
        <v>109</v>
      </c>
      <c r="E88" s="22" t="s">
        <v>110</v>
      </c>
      <c r="F88" s="22" t="s">
        <v>327</v>
      </c>
      <c r="G88" s="22" t="s">
        <v>328</v>
      </c>
    </row>
    <row r="89" customFormat="false" ht="39.75" hidden="false" customHeight="true" outlineLevel="0" collapsed="false">
      <c r="A89" s="23" t="s">
        <v>323</v>
      </c>
      <c r="B89" s="23" t="s">
        <v>152</v>
      </c>
      <c r="C89" s="23" t="s">
        <v>324</v>
      </c>
      <c r="D89" s="25" t="s">
        <v>113</v>
      </c>
      <c r="E89" s="22" t="s">
        <v>114</v>
      </c>
      <c r="F89" s="22" t="s">
        <v>329</v>
      </c>
      <c r="G89" s="22" t="s">
        <v>330</v>
      </c>
    </row>
    <row r="90" customFormat="false" ht="39.75" hidden="false" customHeight="true" outlineLevel="0" collapsed="false">
      <c r="A90" s="23" t="s">
        <v>323</v>
      </c>
      <c r="B90" s="23" t="s">
        <v>152</v>
      </c>
      <c r="C90" s="23" t="s">
        <v>324</v>
      </c>
      <c r="D90" s="26" t="s">
        <v>117</v>
      </c>
      <c r="E90" s="22" t="s">
        <v>118</v>
      </c>
      <c r="F90" s="22" t="s">
        <v>331</v>
      </c>
      <c r="G90" s="22" t="s">
        <v>332</v>
      </c>
    </row>
    <row r="91" customFormat="false" ht="39.75" hidden="false" customHeight="true" outlineLevel="0" collapsed="false">
      <c r="A91" s="23" t="s">
        <v>323</v>
      </c>
      <c r="B91" s="23" t="s">
        <v>152</v>
      </c>
      <c r="C91" s="23" t="s">
        <v>324</v>
      </c>
      <c r="D91" s="27" t="s">
        <v>121</v>
      </c>
      <c r="E91" s="22" t="s">
        <v>122</v>
      </c>
      <c r="F91" s="22" t="s">
        <v>333</v>
      </c>
      <c r="G91" s="22" t="s">
        <v>334</v>
      </c>
    </row>
    <row r="92" customFormat="false" ht="39.75" hidden="false" customHeight="true" outlineLevel="0" collapsed="false">
      <c r="A92" s="20" t="s">
        <v>335</v>
      </c>
      <c r="B92" s="20" t="s">
        <v>165</v>
      </c>
      <c r="C92" s="20" t="s">
        <v>336</v>
      </c>
      <c r="D92" s="21" t="s">
        <v>105</v>
      </c>
      <c r="E92" s="22" t="s">
        <v>106</v>
      </c>
      <c r="F92" s="22" t="s">
        <v>337</v>
      </c>
      <c r="G92" s="22" t="s">
        <v>338</v>
      </c>
    </row>
    <row r="93" customFormat="false" ht="39.75" hidden="false" customHeight="true" outlineLevel="0" collapsed="false">
      <c r="A93" s="23" t="s">
        <v>335</v>
      </c>
      <c r="B93" s="23" t="s">
        <v>165</v>
      </c>
      <c r="C93" s="23" t="s">
        <v>336</v>
      </c>
      <c r="D93" s="24" t="s">
        <v>109</v>
      </c>
      <c r="E93" s="22" t="s">
        <v>110</v>
      </c>
      <c r="F93" s="22" t="s">
        <v>339</v>
      </c>
      <c r="G93" s="22" t="s">
        <v>340</v>
      </c>
    </row>
    <row r="94" customFormat="false" ht="39.75" hidden="false" customHeight="true" outlineLevel="0" collapsed="false">
      <c r="A94" s="23" t="s">
        <v>335</v>
      </c>
      <c r="B94" s="23" t="s">
        <v>165</v>
      </c>
      <c r="C94" s="23" t="s">
        <v>336</v>
      </c>
      <c r="D94" s="25" t="s">
        <v>113</v>
      </c>
      <c r="E94" s="22" t="s">
        <v>114</v>
      </c>
      <c r="F94" s="22" t="s">
        <v>341</v>
      </c>
      <c r="G94" s="22" t="s">
        <v>342</v>
      </c>
    </row>
    <row r="95" customFormat="false" ht="39.75" hidden="false" customHeight="true" outlineLevel="0" collapsed="false">
      <c r="A95" s="23" t="s">
        <v>335</v>
      </c>
      <c r="B95" s="23" t="s">
        <v>165</v>
      </c>
      <c r="C95" s="23" t="s">
        <v>336</v>
      </c>
      <c r="D95" s="26" t="s">
        <v>117</v>
      </c>
      <c r="E95" s="22" t="s">
        <v>118</v>
      </c>
      <c r="F95" s="22" t="s">
        <v>343</v>
      </c>
      <c r="G95" s="22" t="s">
        <v>344</v>
      </c>
    </row>
    <row r="96" customFormat="false" ht="39.75" hidden="false" customHeight="true" outlineLevel="0" collapsed="false">
      <c r="A96" s="23" t="s">
        <v>335</v>
      </c>
      <c r="B96" s="23" t="s">
        <v>165</v>
      </c>
      <c r="C96" s="23" t="s">
        <v>336</v>
      </c>
      <c r="D96" s="27" t="s">
        <v>121</v>
      </c>
      <c r="E96" s="22" t="s">
        <v>122</v>
      </c>
      <c r="F96" s="22" t="s">
        <v>345</v>
      </c>
      <c r="G96" s="22" t="s">
        <v>346</v>
      </c>
    </row>
    <row r="97" customFormat="false" ht="39.75" hidden="false" customHeight="true" outlineLevel="0" collapsed="false">
      <c r="A97" s="20" t="s">
        <v>347</v>
      </c>
      <c r="B97" s="20" t="s">
        <v>178</v>
      </c>
      <c r="C97" s="20" t="s">
        <v>348</v>
      </c>
      <c r="D97" s="21" t="s">
        <v>105</v>
      </c>
      <c r="E97" s="22" t="s">
        <v>106</v>
      </c>
      <c r="F97" s="22" t="s">
        <v>349</v>
      </c>
      <c r="G97" s="22" t="s">
        <v>350</v>
      </c>
    </row>
    <row r="98" customFormat="false" ht="39.75" hidden="false" customHeight="true" outlineLevel="0" collapsed="false">
      <c r="A98" s="23" t="s">
        <v>347</v>
      </c>
      <c r="B98" s="23" t="s">
        <v>178</v>
      </c>
      <c r="C98" s="23" t="s">
        <v>348</v>
      </c>
      <c r="D98" s="24" t="s">
        <v>109</v>
      </c>
      <c r="E98" s="22" t="s">
        <v>110</v>
      </c>
      <c r="F98" s="22" t="s">
        <v>351</v>
      </c>
      <c r="G98" s="22" t="s">
        <v>352</v>
      </c>
    </row>
    <row r="99" customFormat="false" ht="39.75" hidden="false" customHeight="true" outlineLevel="0" collapsed="false">
      <c r="A99" s="23" t="s">
        <v>347</v>
      </c>
      <c r="B99" s="23" t="s">
        <v>178</v>
      </c>
      <c r="C99" s="23" t="s">
        <v>348</v>
      </c>
      <c r="D99" s="25" t="s">
        <v>113</v>
      </c>
      <c r="E99" s="22" t="s">
        <v>114</v>
      </c>
      <c r="F99" s="22" t="s">
        <v>353</v>
      </c>
      <c r="G99" s="22" t="s">
        <v>354</v>
      </c>
    </row>
    <row r="100" customFormat="false" ht="39.75" hidden="false" customHeight="true" outlineLevel="0" collapsed="false">
      <c r="A100" s="23" t="s">
        <v>347</v>
      </c>
      <c r="B100" s="23" t="s">
        <v>178</v>
      </c>
      <c r="C100" s="23" t="s">
        <v>348</v>
      </c>
      <c r="D100" s="26" t="s">
        <v>117</v>
      </c>
      <c r="E100" s="22" t="s">
        <v>118</v>
      </c>
      <c r="F100" s="22" t="s">
        <v>247</v>
      </c>
      <c r="G100" s="22" t="s">
        <v>355</v>
      </c>
    </row>
    <row r="101" customFormat="false" ht="39.75" hidden="false" customHeight="true" outlineLevel="0" collapsed="false">
      <c r="A101" s="23" t="s">
        <v>347</v>
      </c>
      <c r="B101" s="23" t="s">
        <v>178</v>
      </c>
      <c r="C101" s="23" t="s">
        <v>348</v>
      </c>
      <c r="D101" s="27" t="s">
        <v>121</v>
      </c>
      <c r="E101" s="22" t="s">
        <v>122</v>
      </c>
      <c r="F101" s="22" t="s">
        <v>356</v>
      </c>
      <c r="G101" s="22" t="s">
        <v>357</v>
      </c>
    </row>
    <row r="102" customFormat="false" ht="39.75" hidden="false" customHeight="true" outlineLevel="0" collapsed="false">
      <c r="A102" s="20" t="s">
        <v>358</v>
      </c>
      <c r="B102" s="20" t="s">
        <v>191</v>
      </c>
      <c r="C102" s="20" t="s">
        <v>359</v>
      </c>
      <c r="D102" s="21" t="s">
        <v>105</v>
      </c>
      <c r="E102" s="22" t="s">
        <v>106</v>
      </c>
      <c r="F102" s="22" t="s">
        <v>360</v>
      </c>
      <c r="G102" s="22" t="s">
        <v>361</v>
      </c>
    </row>
    <row r="103" customFormat="false" ht="39.75" hidden="false" customHeight="true" outlineLevel="0" collapsed="false">
      <c r="A103" s="23" t="s">
        <v>358</v>
      </c>
      <c r="B103" s="23" t="s">
        <v>191</v>
      </c>
      <c r="C103" s="23" t="s">
        <v>359</v>
      </c>
      <c r="D103" s="24" t="s">
        <v>109</v>
      </c>
      <c r="E103" s="22" t="s">
        <v>110</v>
      </c>
      <c r="F103" s="22" t="s">
        <v>362</v>
      </c>
      <c r="G103" s="22" t="s">
        <v>363</v>
      </c>
    </row>
    <row r="104" customFormat="false" ht="39.75" hidden="false" customHeight="true" outlineLevel="0" collapsed="false">
      <c r="A104" s="23" t="s">
        <v>358</v>
      </c>
      <c r="B104" s="23" t="s">
        <v>191</v>
      </c>
      <c r="C104" s="23" t="s">
        <v>359</v>
      </c>
      <c r="D104" s="25" t="s">
        <v>113</v>
      </c>
      <c r="E104" s="22" t="s">
        <v>114</v>
      </c>
      <c r="F104" s="22" t="s">
        <v>364</v>
      </c>
      <c r="G104" s="22" t="s">
        <v>365</v>
      </c>
    </row>
    <row r="105" customFormat="false" ht="39.75" hidden="false" customHeight="true" outlineLevel="0" collapsed="false">
      <c r="A105" s="23" t="s">
        <v>358</v>
      </c>
      <c r="B105" s="23" t="s">
        <v>191</v>
      </c>
      <c r="C105" s="23" t="s">
        <v>359</v>
      </c>
      <c r="D105" s="26" t="s">
        <v>117</v>
      </c>
      <c r="E105" s="22" t="s">
        <v>118</v>
      </c>
      <c r="F105" s="22" t="s">
        <v>366</v>
      </c>
      <c r="G105" s="22" t="s">
        <v>367</v>
      </c>
    </row>
    <row r="106" customFormat="false" ht="39.75" hidden="false" customHeight="true" outlineLevel="0" collapsed="false">
      <c r="A106" s="23" t="s">
        <v>358</v>
      </c>
      <c r="B106" s="23" t="s">
        <v>191</v>
      </c>
      <c r="C106" s="23" t="s">
        <v>359</v>
      </c>
      <c r="D106" s="27" t="s">
        <v>121</v>
      </c>
      <c r="E106" s="22" t="s">
        <v>122</v>
      </c>
      <c r="F106" s="22" t="s">
        <v>368</v>
      </c>
      <c r="G106" s="22" t="s">
        <v>369</v>
      </c>
    </row>
    <row r="107" customFormat="false" ht="39.75" hidden="false" customHeight="true" outlineLevel="0" collapsed="false">
      <c r="A107" s="20" t="s">
        <v>370</v>
      </c>
      <c r="B107" s="20" t="s">
        <v>103</v>
      </c>
      <c r="C107" s="20" t="s">
        <v>371</v>
      </c>
      <c r="D107" s="21" t="s">
        <v>105</v>
      </c>
      <c r="E107" s="22" t="s">
        <v>106</v>
      </c>
      <c r="F107" s="22" t="s">
        <v>372</v>
      </c>
      <c r="G107" s="22" t="s">
        <v>373</v>
      </c>
    </row>
    <row r="108" customFormat="false" ht="39.75" hidden="false" customHeight="true" outlineLevel="0" collapsed="false">
      <c r="A108" s="23" t="s">
        <v>370</v>
      </c>
      <c r="B108" s="23" t="s">
        <v>103</v>
      </c>
      <c r="C108" s="23" t="s">
        <v>371</v>
      </c>
      <c r="D108" s="24" t="s">
        <v>109</v>
      </c>
      <c r="E108" s="22" t="s">
        <v>110</v>
      </c>
      <c r="F108" s="22" t="s">
        <v>374</v>
      </c>
      <c r="G108" s="22" t="s">
        <v>375</v>
      </c>
    </row>
    <row r="109" customFormat="false" ht="39.75" hidden="false" customHeight="true" outlineLevel="0" collapsed="false">
      <c r="A109" s="23" t="s">
        <v>370</v>
      </c>
      <c r="B109" s="23" t="s">
        <v>103</v>
      </c>
      <c r="C109" s="23" t="s">
        <v>371</v>
      </c>
      <c r="D109" s="25" t="s">
        <v>113</v>
      </c>
      <c r="E109" s="22" t="s">
        <v>114</v>
      </c>
      <c r="F109" s="22" t="s">
        <v>376</v>
      </c>
      <c r="G109" s="22" t="s">
        <v>377</v>
      </c>
    </row>
    <row r="110" customFormat="false" ht="39.75" hidden="false" customHeight="true" outlineLevel="0" collapsed="false">
      <c r="A110" s="23" t="s">
        <v>370</v>
      </c>
      <c r="B110" s="23" t="s">
        <v>103</v>
      </c>
      <c r="C110" s="23" t="s">
        <v>371</v>
      </c>
      <c r="D110" s="26" t="s">
        <v>117</v>
      </c>
      <c r="E110" s="22" t="s">
        <v>118</v>
      </c>
      <c r="F110" s="22" t="s">
        <v>378</v>
      </c>
      <c r="G110" s="22" t="s">
        <v>379</v>
      </c>
    </row>
    <row r="111" customFormat="false" ht="39.75" hidden="false" customHeight="true" outlineLevel="0" collapsed="false">
      <c r="A111" s="23" t="s">
        <v>370</v>
      </c>
      <c r="B111" s="23" t="s">
        <v>103</v>
      </c>
      <c r="C111" s="23" t="s">
        <v>371</v>
      </c>
      <c r="D111" s="27" t="s">
        <v>121</v>
      </c>
      <c r="E111" s="22" t="s">
        <v>122</v>
      </c>
      <c r="F111" s="22" t="s">
        <v>380</v>
      </c>
      <c r="G111" s="22" t="s">
        <v>381</v>
      </c>
    </row>
    <row r="112" customFormat="false" ht="39.75" hidden="false" customHeight="true" outlineLevel="0" collapsed="false">
      <c r="A112" s="20" t="s">
        <v>382</v>
      </c>
      <c r="B112" s="20" t="s">
        <v>126</v>
      </c>
      <c r="C112" s="20" t="s">
        <v>383</v>
      </c>
      <c r="D112" s="21" t="s">
        <v>105</v>
      </c>
      <c r="E112" s="22" t="s">
        <v>106</v>
      </c>
      <c r="F112" s="22" t="s">
        <v>384</v>
      </c>
      <c r="G112" s="22" t="s">
        <v>385</v>
      </c>
    </row>
    <row r="113" customFormat="false" ht="39.75" hidden="false" customHeight="true" outlineLevel="0" collapsed="false">
      <c r="A113" s="23" t="s">
        <v>382</v>
      </c>
      <c r="B113" s="23" t="s">
        <v>126</v>
      </c>
      <c r="C113" s="23" t="s">
        <v>383</v>
      </c>
      <c r="D113" s="24" t="s">
        <v>109</v>
      </c>
      <c r="E113" s="22" t="s">
        <v>110</v>
      </c>
      <c r="F113" s="22" t="s">
        <v>386</v>
      </c>
      <c r="G113" s="22" t="s">
        <v>387</v>
      </c>
    </row>
    <row r="114" customFormat="false" ht="39.75" hidden="false" customHeight="true" outlineLevel="0" collapsed="false">
      <c r="A114" s="23" t="s">
        <v>382</v>
      </c>
      <c r="B114" s="23" t="s">
        <v>126</v>
      </c>
      <c r="C114" s="23" t="s">
        <v>383</v>
      </c>
      <c r="D114" s="25" t="s">
        <v>113</v>
      </c>
      <c r="E114" s="22" t="s">
        <v>114</v>
      </c>
      <c r="F114" s="22" t="s">
        <v>388</v>
      </c>
      <c r="G114" s="22" t="s">
        <v>389</v>
      </c>
    </row>
    <row r="115" customFormat="false" ht="39.75" hidden="false" customHeight="true" outlineLevel="0" collapsed="false">
      <c r="A115" s="23" t="s">
        <v>382</v>
      </c>
      <c r="B115" s="23" t="s">
        <v>126</v>
      </c>
      <c r="C115" s="23" t="s">
        <v>383</v>
      </c>
      <c r="D115" s="26" t="s">
        <v>117</v>
      </c>
      <c r="E115" s="22" t="s">
        <v>118</v>
      </c>
      <c r="F115" s="22" t="s">
        <v>390</v>
      </c>
      <c r="G115" s="22" t="s">
        <v>391</v>
      </c>
    </row>
    <row r="116" customFormat="false" ht="39.75" hidden="false" customHeight="true" outlineLevel="0" collapsed="false">
      <c r="A116" s="23" t="s">
        <v>382</v>
      </c>
      <c r="B116" s="23" t="s">
        <v>126</v>
      </c>
      <c r="C116" s="23" t="s">
        <v>383</v>
      </c>
      <c r="D116" s="27" t="s">
        <v>121</v>
      </c>
      <c r="E116" s="22" t="s">
        <v>122</v>
      </c>
      <c r="F116" s="22" t="s">
        <v>392</v>
      </c>
      <c r="G116" s="22" t="s">
        <v>393</v>
      </c>
    </row>
    <row r="117" customFormat="false" ht="39.75" hidden="false" customHeight="true" outlineLevel="0" collapsed="false">
      <c r="A117" s="20" t="s">
        <v>394</v>
      </c>
      <c r="B117" s="20" t="s">
        <v>139</v>
      </c>
      <c r="C117" s="20" t="s">
        <v>395</v>
      </c>
      <c r="D117" s="21" t="s">
        <v>105</v>
      </c>
      <c r="E117" s="22" t="s">
        <v>106</v>
      </c>
      <c r="F117" s="22" t="s">
        <v>396</v>
      </c>
      <c r="G117" s="22" t="s">
        <v>397</v>
      </c>
    </row>
    <row r="118" customFormat="false" ht="39.75" hidden="false" customHeight="true" outlineLevel="0" collapsed="false">
      <c r="A118" s="23" t="s">
        <v>394</v>
      </c>
      <c r="B118" s="23" t="s">
        <v>139</v>
      </c>
      <c r="C118" s="23" t="s">
        <v>395</v>
      </c>
      <c r="D118" s="24" t="s">
        <v>109</v>
      </c>
      <c r="E118" s="22" t="s">
        <v>110</v>
      </c>
      <c r="F118" s="22" t="s">
        <v>398</v>
      </c>
      <c r="G118" s="22" t="s">
        <v>399</v>
      </c>
    </row>
    <row r="119" customFormat="false" ht="42" hidden="false" customHeight="true" outlineLevel="0" collapsed="false">
      <c r="A119" s="23" t="s">
        <v>394</v>
      </c>
      <c r="B119" s="23" t="s">
        <v>139</v>
      </c>
      <c r="C119" s="23" t="s">
        <v>395</v>
      </c>
      <c r="D119" s="25" t="s">
        <v>113</v>
      </c>
      <c r="E119" s="22" t="s">
        <v>114</v>
      </c>
      <c r="F119" s="22" t="s">
        <v>400</v>
      </c>
      <c r="G119" s="22" t="s">
        <v>401</v>
      </c>
    </row>
    <row r="120" customFormat="false" ht="39.75" hidden="false" customHeight="true" outlineLevel="0" collapsed="false">
      <c r="A120" s="23" t="s">
        <v>394</v>
      </c>
      <c r="B120" s="23" t="s">
        <v>139</v>
      </c>
      <c r="C120" s="23" t="s">
        <v>395</v>
      </c>
      <c r="D120" s="26" t="s">
        <v>117</v>
      </c>
      <c r="E120" s="22" t="s">
        <v>118</v>
      </c>
      <c r="F120" s="22" t="s">
        <v>402</v>
      </c>
      <c r="G120" s="22" t="s">
        <v>403</v>
      </c>
    </row>
    <row r="121" customFormat="false" ht="39.75" hidden="false" customHeight="true" outlineLevel="0" collapsed="false">
      <c r="A121" s="23" t="s">
        <v>394</v>
      </c>
      <c r="B121" s="23" t="s">
        <v>139</v>
      </c>
      <c r="C121" s="23" t="s">
        <v>395</v>
      </c>
      <c r="D121" s="27" t="s">
        <v>121</v>
      </c>
      <c r="E121" s="22" t="s">
        <v>122</v>
      </c>
      <c r="F121" s="22" t="s">
        <v>404</v>
      </c>
      <c r="G121" s="22" t="s">
        <v>405</v>
      </c>
    </row>
    <row r="122" customFormat="false" ht="39.75" hidden="false" customHeight="true" outlineLevel="0" collapsed="false">
      <c r="A122" s="28" t="s">
        <v>406</v>
      </c>
      <c r="B122" s="28" t="s">
        <v>152</v>
      </c>
      <c r="C122" s="28" t="s">
        <v>407</v>
      </c>
      <c r="D122" s="21" t="s">
        <v>105</v>
      </c>
      <c r="E122" s="22" t="s">
        <v>106</v>
      </c>
      <c r="F122" s="22" t="s">
        <v>408</v>
      </c>
      <c r="G122" s="22" t="s">
        <v>409</v>
      </c>
    </row>
    <row r="123" customFormat="false" ht="39.75" hidden="false" customHeight="true" outlineLevel="0" collapsed="false">
      <c r="A123" s="23" t="s">
        <v>406</v>
      </c>
      <c r="B123" s="23" t="s">
        <v>152</v>
      </c>
      <c r="C123" s="23" t="s">
        <v>407</v>
      </c>
      <c r="D123" s="24" t="s">
        <v>109</v>
      </c>
      <c r="E123" s="22" t="s">
        <v>110</v>
      </c>
      <c r="F123" s="22" t="s">
        <v>410</v>
      </c>
      <c r="G123" s="22" t="s">
        <v>411</v>
      </c>
    </row>
    <row r="124" customFormat="false" ht="39.75" hidden="false" customHeight="true" outlineLevel="0" collapsed="false">
      <c r="A124" s="23" t="s">
        <v>406</v>
      </c>
      <c r="B124" s="23" t="s">
        <v>152</v>
      </c>
      <c r="C124" s="23" t="s">
        <v>407</v>
      </c>
      <c r="D124" s="25" t="s">
        <v>113</v>
      </c>
      <c r="E124" s="22" t="s">
        <v>114</v>
      </c>
      <c r="F124" s="22" t="s">
        <v>412</v>
      </c>
      <c r="G124" s="22" t="s">
        <v>413</v>
      </c>
    </row>
    <row r="125" customFormat="false" ht="39.75" hidden="false" customHeight="true" outlineLevel="0" collapsed="false">
      <c r="A125" s="23" t="s">
        <v>406</v>
      </c>
      <c r="B125" s="23" t="s">
        <v>152</v>
      </c>
      <c r="C125" s="23" t="s">
        <v>407</v>
      </c>
      <c r="D125" s="26" t="s">
        <v>117</v>
      </c>
      <c r="E125" s="22" t="s">
        <v>118</v>
      </c>
      <c r="F125" s="22" t="s">
        <v>414</v>
      </c>
      <c r="G125" s="22" t="s">
        <v>415</v>
      </c>
    </row>
    <row r="126" customFormat="false" ht="42" hidden="false" customHeight="true" outlineLevel="0" collapsed="false">
      <c r="A126" s="23" t="s">
        <v>406</v>
      </c>
      <c r="B126" s="23" t="s">
        <v>152</v>
      </c>
      <c r="C126" s="23" t="s">
        <v>407</v>
      </c>
      <c r="D126" s="27" t="s">
        <v>121</v>
      </c>
      <c r="E126" s="22" t="s">
        <v>122</v>
      </c>
      <c r="F126" s="22" t="s">
        <v>416</v>
      </c>
      <c r="G126" s="22" t="s">
        <v>417</v>
      </c>
    </row>
    <row r="127" customFormat="false" ht="39.75" hidden="false" customHeight="true" outlineLevel="0" collapsed="false">
      <c r="A127" s="20" t="s">
        <v>418</v>
      </c>
      <c r="B127" s="20" t="s">
        <v>165</v>
      </c>
      <c r="C127" s="20" t="s">
        <v>419</v>
      </c>
      <c r="D127" s="21" t="s">
        <v>105</v>
      </c>
      <c r="E127" s="22" t="s">
        <v>106</v>
      </c>
      <c r="F127" s="22" t="s">
        <v>420</v>
      </c>
      <c r="G127" s="22" t="s">
        <v>421</v>
      </c>
    </row>
    <row r="128" customFormat="false" ht="39.75" hidden="false" customHeight="true" outlineLevel="0" collapsed="false">
      <c r="A128" s="23" t="s">
        <v>418</v>
      </c>
      <c r="B128" s="23" t="s">
        <v>165</v>
      </c>
      <c r="C128" s="23" t="s">
        <v>419</v>
      </c>
      <c r="D128" s="24" t="s">
        <v>109</v>
      </c>
      <c r="E128" s="22" t="s">
        <v>110</v>
      </c>
      <c r="F128" s="22" t="s">
        <v>422</v>
      </c>
      <c r="G128" s="22" t="s">
        <v>423</v>
      </c>
    </row>
    <row r="129" customFormat="false" ht="39.75" hidden="false" customHeight="true" outlineLevel="0" collapsed="false">
      <c r="A129" s="23" t="s">
        <v>418</v>
      </c>
      <c r="B129" s="23" t="s">
        <v>165</v>
      </c>
      <c r="C129" s="23" t="s">
        <v>419</v>
      </c>
      <c r="D129" s="25" t="s">
        <v>113</v>
      </c>
      <c r="E129" s="22" t="s">
        <v>114</v>
      </c>
      <c r="F129" s="22" t="s">
        <v>424</v>
      </c>
      <c r="G129" s="22" t="s">
        <v>425</v>
      </c>
    </row>
    <row r="130" customFormat="false" ht="39.75" hidden="false" customHeight="true" outlineLevel="0" collapsed="false">
      <c r="A130" s="23" t="s">
        <v>418</v>
      </c>
      <c r="B130" s="23" t="s">
        <v>165</v>
      </c>
      <c r="C130" s="23" t="s">
        <v>419</v>
      </c>
      <c r="D130" s="26" t="s">
        <v>117</v>
      </c>
      <c r="E130" s="22" t="s">
        <v>118</v>
      </c>
      <c r="F130" s="22" t="s">
        <v>247</v>
      </c>
      <c r="G130" s="22" t="s">
        <v>426</v>
      </c>
    </row>
    <row r="131" customFormat="false" ht="39.75" hidden="false" customHeight="true" outlineLevel="0" collapsed="false">
      <c r="A131" s="23" t="s">
        <v>418</v>
      </c>
      <c r="B131" s="23" t="s">
        <v>165</v>
      </c>
      <c r="C131" s="23" t="s">
        <v>419</v>
      </c>
      <c r="D131" s="27" t="s">
        <v>121</v>
      </c>
      <c r="E131" s="22" t="s">
        <v>122</v>
      </c>
      <c r="F131" s="22" t="s">
        <v>427</v>
      </c>
      <c r="G131" s="22" t="s">
        <v>428</v>
      </c>
    </row>
    <row r="132" customFormat="false" ht="39.75" hidden="false" customHeight="true" outlineLevel="0" collapsed="false">
      <c r="A132" s="20" t="s">
        <v>429</v>
      </c>
      <c r="B132" s="20" t="s">
        <v>178</v>
      </c>
      <c r="C132" s="20" t="s">
        <v>430</v>
      </c>
      <c r="D132" s="21" t="s">
        <v>105</v>
      </c>
      <c r="E132" s="22" t="s">
        <v>106</v>
      </c>
      <c r="F132" s="22" t="s">
        <v>431</v>
      </c>
      <c r="G132" s="22" t="s">
        <v>432</v>
      </c>
    </row>
    <row r="133" customFormat="false" ht="39.75" hidden="false" customHeight="true" outlineLevel="0" collapsed="false">
      <c r="A133" s="23" t="s">
        <v>429</v>
      </c>
      <c r="B133" s="23" t="s">
        <v>178</v>
      </c>
      <c r="C133" s="23" t="s">
        <v>430</v>
      </c>
      <c r="D133" s="24" t="s">
        <v>109</v>
      </c>
      <c r="E133" s="22" t="s">
        <v>110</v>
      </c>
      <c r="F133" s="22" t="s">
        <v>433</v>
      </c>
      <c r="G133" s="22" t="s">
        <v>434</v>
      </c>
    </row>
    <row r="134" customFormat="false" ht="39.75" hidden="false" customHeight="true" outlineLevel="0" collapsed="false">
      <c r="A134" s="23" t="s">
        <v>429</v>
      </c>
      <c r="B134" s="23" t="s">
        <v>178</v>
      </c>
      <c r="C134" s="23" t="s">
        <v>430</v>
      </c>
      <c r="D134" s="25" t="s">
        <v>113</v>
      </c>
      <c r="E134" s="22" t="s">
        <v>114</v>
      </c>
      <c r="F134" s="22" t="s">
        <v>435</v>
      </c>
      <c r="G134" s="22" t="s">
        <v>436</v>
      </c>
    </row>
    <row r="135" customFormat="false" ht="39.75" hidden="false" customHeight="true" outlineLevel="0" collapsed="false">
      <c r="A135" s="23" t="s">
        <v>429</v>
      </c>
      <c r="B135" s="23" t="s">
        <v>178</v>
      </c>
      <c r="C135" s="23" t="s">
        <v>430</v>
      </c>
      <c r="D135" s="26" t="s">
        <v>117</v>
      </c>
      <c r="E135" s="22" t="s">
        <v>118</v>
      </c>
      <c r="F135" s="22" t="s">
        <v>437</v>
      </c>
      <c r="G135" s="22" t="s">
        <v>438</v>
      </c>
    </row>
    <row r="136" customFormat="false" ht="39.75" hidden="false" customHeight="true" outlineLevel="0" collapsed="false">
      <c r="A136" s="23" t="s">
        <v>429</v>
      </c>
      <c r="B136" s="23" t="s">
        <v>178</v>
      </c>
      <c r="C136" s="23" t="s">
        <v>430</v>
      </c>
      <c r="D136" s="27" t="s">
        <v>121</v>
      </c>
      <c r="E136" s="22" t="s">
        <v>122</v>
      </c>
      <c r="F136" s="22" t="s">
        <v>439</v>
      </c>
      <c r="G136" s="22" t="s">
        <v>440</v>
      </c>
    </row>
    <row r="137" customFormat="false" ht="39.75" hidden="false" customHeight="true" outlineLevel="0" collapsed="false">
      <c r="A137" s="20" t="s">
        <v>441</v>
      </c>
      <c r="B137" s="20" t="s">
        <v>191</v>
      </c>
      <c r="C137" s="20" t="s">
        <v>442</v>
      </c>
      <c r="D137" s="21" t="s">
        <v>105</v>
      </c>
      <c r="E137" s="22" t="s">
        <v>106</v>
      </c>
      <c r="F137" s="22" t="s">
        <v>443</v>
      </c>
      <c r="G137" s="22" t="s">
        <v>444</v>
      </c>
    </row>
    <row r="138" customFormat="false" ht="39.75" hidden="false" customHeight="true" outlineLevel="0" collapsed="false">
      <c r="A138" s="23" t="s">
        <v>441</v>
      </c>
      <c r="B138" s="23" t="s">
        <v>191</v>
      </c>
      <c r="C138" s="23" t="s">
        <v>442</v>
      </c>
      <c r="D138" s="24" t="s">
        <v>109</v>
      </c>
      <c r="E138" s="22" t="s">
        <v>110</v>
      </c>
      <c r="F138" s="22" t="s">
        <v>445</v>
      </c>
      <c r="G138" s="22" t="s">
        <v>446</v>
      </c>
    </row>
    <row r="139" customFormat="false" ht="39.75" hidden="false" customHeight="true" outlineLevel="0" collapsed="false">
      <c r="A139" s="23" t="s">
        <v>441</v>
      </c>
      <c r="B139" s="23" t="s">
        <v>191</v>
      </c>
      <c r="C139" s="23" t="s">
        <v>442</v>
      </c>
      <c r="D139" s="25" t="s">
        <v>113</v>
      </c>
      <c r="E139" s="22" t="s">
        <v>114</v>
      </c>
      <c r="F139" s="22" t="s">
        <v>447</v>
      </c>
      <c r="G139" s="22" t="s">
        <v>448</v>
      </c>
    </row>
    <row r="140" customFormat="false" ht="39.75" hidden="false" customHeight="true" outlineLevel="0" collapsed="false">
      <c r="A140" s="23" t="s">
        <v>441</v>
      </c>
      <c r="B140" s="23" t="s">
        <v>191</v>
      </c>
      <c r="C140" s="23" t="s">
        <v>442</v>
      </c>
      <c r="D140" s="26" t="s">
        <v>117</v>
      </c>
      <c r="E140" s="22" t="s">
        <v>118</v>
      </c>
      <c r="F140" s="22" t="s">
        <v>449</v>
      </c>
      <c r="G140" s="22" t="s">
        <v>450</v>
      </c>
    </row>
    <row r="141" customFormat="false" ht="39.75" hidden="false" customHeight="true" outlineLevel="0" collapsed="false">
      <c r="A141" s="23" t="s">
        <v>441</v>
      </c>
      <c r="B141" s="23" t="s">
        <v>191</v>
      </c>
      <c r="C141" s="23" t="s">
        <v>442</v>
      </c>
      <c r="D141" s="27" t="s">
        <v>121</v>
      </c>
      <c r="E141" s="22" t="s">
        <v>122</v>
      </c>
      <c r="F141" s="22" t="s">
        <v>451</v>
      </c>
      <c r="G141" s="22" t="s">
        <v>452</v>
      </c>
    </row>
    <row r="142" customFormat="false" ht="39.75" hidden="false" customHeight="true" outlineLevel="0" collapsed="false">
      <c r="A142" s="20" t="s">
        <v>453</v>
      </c>
      <c r="B142" s="20" t="s">
        <v>103</v>
      </c>
      <c r="C142" s="20" t="s">
        <v>454</v>
      </c>
      <c r="D142" s="21" t="s">
        <v>105</v>
      </c>
      <c r="E142" s="22" t="s">
        <v>106</v>
      </c>
      <c r="F142" s="22" t="s">
        <v>455</v>
      </c>
      <c r="G142" s="22" t="s">
        <v>456</v>
      </c>
    </row>
    <row r="143" customFormat="false" ht="39.75" hidden="false" customHeight="true" outlineLevel="0" collapsed="false">
      <c r="A143" s="23" t="s">
        <v>453</v>
      </c>
      <c r="B143" s="23" t="s">
        <v>103</v>
      </c>
      <c r="C143" s="23" t="s">
        <v>454</v>
      </c>
      <c r="D143" s="24" t="s">
        <v>109</v>
      </c>
      <c r="E143" s="22" t="s">
        <v>110</v>
      </c>
      <c r="F143" s="22" t="s">
        <v>457</v>
      </c>
      <c r="G143" s="22" t="s">
        <v>458</v>
      </c>
    </row>
    <row r="144" customFormat="false" ht="39.75" hidden="false" customHeight="true" outlineLevel="0" collapsed="false">
      <c r="A144" s="23" t="s">
        <v>453</v>
      </c>
      <c r="B144" s="23" t="s">
        <v>103</v>
      </c>
      <c r="C144" s="23" t="s">
        <v>454</v>
      </c>
      <c r="D144" s="25" t="s">
        <v>113</v>
      </c>
      <c r="E144" s="22" t="s">
        <v>114</v>
      </c>
      <c r="F144" s="22" t="s">
        <v>459</v>
      </c>
      <c r="G144" s="22" t="s">
        <v>460</v>
      </c>
    </row>
    <row r="145" customFormat="false" ht="39.75" hidden="false" customHeight="true" outlineLevel="0" collapsed="false">
      <c r="A145" s="23" t="s">
        <v>453</v>
      </c>
      <c r="B145" s="23" t="s">
        <v>103</v>
      </c>
      <c r="C145" s="23" t="s">
        <v>454</v>
      </c>
      <c r="D145" s="26" t="s">
        <v>117</v>
      </c>
      <c r="E145" s="22" t="s">
        <v>118</v>
      </c>
      <c r="F145" s="22" t="s">
        <v>461</v>
      </c>
      <c r="G145" s="22" t="s">
        <v>462</v>
      </c>
    </row>
    <row r="146" customFormat="false" ht="39.75" hidden="false" customHeight="true" outlineLevel="0" collapsed="false">
      <c r="A146" s="23" t="s">
        <v>453</v>
      </c>
      <c r="B146" s="23" t="s">
        <v>103</v>
      </c>
      <c r="C146" s="23" t="s">
        <v>454</v>
      </c>
      <c r="D146" s="27" t="s">
        <v>121</v>
      </c>
      <c r="E146" s="22" t="s">
        <v>122</v>
      </c>
      <c r="F146" s="22" t="s">
        <v>463</v>
      </c>
      <c r="G146" s="22" t="s">
        <v>464</v>
      </c>
    </row>
    <row r="147" customFormat="false" ht="39.75" hidden="false" customHeight="true" outlineLevel="0" collapsed="false">
      <c r="A147" s="20" t="s">
        <v>465</v>
      </c>
      <c r="B147" s="20" t="s">
        <v>126</v>
      </c>
      <c r="C147" s="20" t="s">
        <v>466</v>
      </c>
      <c r="D147" s="21" t="s">
        <v>105</v>
      </c>
      <c r="E147" s="22" t="s">
        <v>106</v>
      </c>
      <c r="F147" s="22" t="s">
        <v>467</v>
      </c>
      <c r="G147" s="22" t="s">
        <v>468</v>
      </c>
    </row>
    <row r="148" customFormat="false" ht="39.75" hidden="false" customHeight="true" outlineLevel="0" collapsed="false">
      <c r="A148" s="23" t="s">
        <v>465</v>
      </c>
      <c r="B148" s="23" t="s">
        <v>126</v>
      </c>
      <c r="C148" s="23" t="s">
        <v>466</v>
      </c>
      <c r="D148" s="24" t="s">
        <v>109</v>
      </c>
      <c r="E148" s="22" t="s">
        <v>110</v>
      </c>
      <c r="F148" s="22" t="s">
        <v>469</v>
      </c>
      <c r="G148" s="22" t="s">
        <v>470</v>
      </c>
    </row>
    <row r="149" customFormat="false" ht="39.75" hidden="false" customHeight="true" outlineLevel="0" collapsed="false">
      <c r="A149" s="23" t="s">
        <v>465</v>
      </c>
      <c r="B149" s="23" t="s">
        <v>126</v>
      </c>
      <c r="C149" s="23" t="s">
        <v>466</v>
      </c>
      <c r="D149" s="25" t="s">
        <v>113</v>
      </c>
      <c r="E149" s="22" t="s">
        <v>114</v>
      </c>
      <c r="F149" s="22" t="s">
        <v>471</v>
      </c>
      <c r="G149" s="22" t="s">
        <v>472</v>
      </c>
    </row>
    <row r="150" customFormat="false" ht="39.75" hidden="false" customHeight="true" outlineLevel="0" collapsed="false">
      <c r="A150" s="23" t="s">
        <v>465</v>
      </c>
      <c r="B150" s="23" t="s">
        <v>126</v>
      </c>
      <c r="C150" s="23" t="s">
        <v>466</v>
      </c>
      <c r="D150" s="26" t="s">
        <v>117</v>
      </c>
      <c r="E150" s="22" t="s">
        <v>118</v>
      </c>
      <c r="F150" s="22" t="s">
        <v>247</v>
      </c>
      <c r="G150" s="22" t="s">
        <v>473</v>
      </c>
    </row>
    <row r="151" customFormat="false" ht="39.75" hidden="false" customHeight="true" outlineLevel="0" collapsed="false">
      <c r="A151" s="23" t="s">
        <v>465</v>
      </c>
      <c r="B151" s="23" t="s">
        <v>126</v>
      </c>
      <c r="C151" s="23" t="s">
        <v>466</v>
      </c>
      <c r="D151" s="27" t="s">
        <v>121</v>
      </c>
      <c r="E151" s="22" t="s">
        <v>122</v>
      </c>
      <c r="F151" s="22" t="s">
        <v>474</v>
      </c>
      <c r="G151" s="22" t="s">
        <v>475</v>
      </c>
    </row>
    <row r="152" customFormat="false" ht="39.75" hidden="false" customHeight="true" outlineLevel="0" collapsed="false">
      <c r="A152" s="20" t="s">
        <v>476</v>
      </c>
      <c r="B152" s="20" t="s">
        <v>139</v>
      </c>
      <c r="C152" s="20" t="s">
        <v>477</v>
      </c>
      <c r="D152" s="21" t="s">
        <v>105</v>
      </c>
      <c r="E152" s="22" t="s">
        <v>106</v>
      </c>
      <c r="F152" s="22" t="s">
        <v>478</v>
      </c>
      <c r="G152" s="22" t="s">
        <v>479</v>
      </c>
    </row>
    <row r="153" customFormat="false" ht="39.75" hidden="false" customHeight="true" outlineLevel="0" collapsed="false">
      <c r="A153" s="23" t="s">
        <v>476</v>
      </c>
      <c r="B153" s="23" t="s">
        <v>139</v>
      </c>
      <c r="C153" s="23" t="s">
        <v>477</v>
      </c>
      <c r="D153" s="24" t="s">
        <v>109</v>
      </c>
      <c r="E153" s="22" t="s">
        <v>110</v>
      </c>
      <c r="F153" s="22" t="s">
        <v>480</v>
      </c>
      <c r="G153" s="22" t="s">
        <v>481</v>
      </c>
    </row>
    <row r="154" customFormat="false" ht="39.75" hidden="false" customHeight="true" outlineLevel="0" collapsed="false">
      <c r="A154" s="23" t="s">
        <v>476</v>
      </c>
      <c r="B154" s="23" t="s">
        <v>139</v>
      </c>
      <c r="C154" s="23" t="s">
        <v>477</v>
      </c>
      <c r="D154" s="25" t="s">
        <v>113</v>
      </c>
      <c r="E154" s="22" t="s">
        <v>114</v>
      </c>
      <c r="F154" s="22" t="s">
        <v>482</v>
      </c>
      <c r="G154" s="22" t="s">
        <v>483</v>
      </c>
    </row>
    <row r="155" customFormat="false" ht="39.75" hidden="false" customHeight="true" outlineLevel="0" collapsed="false">
      <c r="A155" s="23" t="s">
        <v>476</v>
      </c>
      <c r="B155" s="23" t="s">
        <v>139</v>
      </c>
      <c r="C155" s="23" t="s">
        <v>477</v>
      </c>
      <c r="D155" s="26" t="s">
        <v>117</v>
      </c>
      <c r="E155" s="22" t="s">
        <v>118</v>
      </c>
      <c r="F155" s="22" t="s">
        <v>484</v>
      </c>
      <c r="G155" s="22" t="s">
        <v>485</v>
      </c>
    </row>
    <row r="156" customFormat="false" ht="39.75" hidden="false" customHeight="true" outlineLevel="0" collapsed="false">
      <c r="A156" s="23" t="s">
        <v>476</v>
      </c>
      <c r="B156" s="23" t="s">
        <v>139</v>
      </c>
      <c r="C156" s="23" t="s">
        <v>477</v>
      </c>
      <c r="D156" s="27" t="s">
        <v>121</v>
      </c>
      <c r="E156" s="22" t="s">
        <v>122</v>
      </c>
      <c r="F156" s="22" t="s">
        <v>486</v>
      </c>
      <c r="G156" s="22" t="s">
        <v>487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75"/>
    <col collapsed="false" customWidth="true" hidden="false" outlineLevel="0" max="4" min="4" style="0" width="35"/>
    <col collapsed="false" customWidth="true" hidden="false" outlineLevel="0" max="5" min="5" style="0" width="18"/>
  </cols>
  <sheetData>
    <row r="1" customFormat="false" ht="31.5" hidden="false" customHeight="true" outlineLevel="0" collapsed="false">
      <c r="A1" s="29" t="s">
        <v>488</v>
      </c>
      <c r="B1" s="29"/>
      <c r="C1" s="29"/>
      <c r="D1" s="29"/>
      <c r="E1" s="29"/>
    </row>
    <row r="2" customFormat="false" ht="21.75" hidden="false" customHeight="true" outlineLevel="0" collapsed="false">
      <c r="A2" s="30" t="s">
        <v>489</v>
      </c>
      <c r="B2" s="30"/>
      <c r="C2" s="30"/>
      <c r="D2" s="30"/>
      <c r="E2" s="30"/>
    </row>
    <row r="4" customFormat="false" ht="24" hidden="false" customHeight="true" outlineLevel="0" collapsed="false">
      <c r="A4" s="19" t="s">
        <v>95</v>
      </c>
      <c r="B4" s="19" t="s">
        <v>490</v>
      </c>
      <c r="C4" s="19" t="s">
        <v>491</v>
      </c>
      <c r="D4" s="19" t="s">
        <v>492</v>
      </c>
      <c r="E4" s="19" t="s">
        <v>493</v>
      </c>
    </row>
    <row r="5" customFormat="false" ht="109.5" hidden="false" customHeight="true" outlineLevel="0" collapsed="false">
      <c r="A5" s="25" t="s">
        <v>125</v>
      </c>
      <c r="B5" s="20" t="s">
        <v>494</v>
      </c>
      <c r="C5" s="22" t="s">
        <v>495</v>
      </c>
      <c r="D5" s="22" t="s">
        <v>496</v>
      </c>
      <c r="E5" s="22"/>
    </row>
    <row r="6" customFormat="false" ht="109.5" hidden="false" customHeight="true" outlineLevel="0" collapsed="false">
      <c r="A6" s="25" t="s">
        <v>164</v>
      </c>
      <c r="B6" s="20" t="s">
        <v>497</v>
      </c>
      <c r="C6" s="22" t="s">
        <v>498</v>
      </c>
      <c r="D6" s="22" t="s">
        <v>499</v>
      </c>
      <c r="E6" s="22"/>
    </row>
    <row r="7" customFormat="false" ht="109.5" hidden="false" customHeight="true" outlineLevel="0" collapsed="false">
      <c r="A7" s="25" t="s">
        <v>203</v>
      </c>
      <c r="B7" s="20" t="s">
        <v>500</v>
      </c>
      <c r="C7" s="22" t="s">
        <v>501</v>
      </c>
      <c r="D7" s="22" t="s">
        <v>502</v>
      </c>
      <c r="E7" s="22"/>
    </row>
    <row r="8" customFormat="false" ht="109.5" hidden="false" customHeight="true" outlineLevel="0" collapsed="false">
      <c r="A8" s="25" t="s">
        <v>299</v>
      </c>
      <c r="B8" s="20" t="s">
        <v>503</v>
      </c>
      <c r="C8" s="22" t="s">
        <v>504</v>
      </c>
      <c r="D8" s="22" t="s">
        <v>505</v>
      </c>
      <c r="E8" s="22"/>
    </row>
    <row r="9" customFormat="false" ht="109.5" hidden="false" customHeight="true" outlineLevel="0" collapsed="false">
      <c r="A9" s="25" t="s">
        <v>406</v>
      </c>
      <c r="B9" s="20" t="s">
        <v>506</v>
      </c>
      <c r="C9" s="22" t="s">
        <v>507</v>
      </c>
      <c r="D9" s="22" t="s">
        <v>508</v>
      </c>
      <c r="E9" s="22"/>
    </row>
    <row r="10" customFormat="false" ht="109.5" hidden="false" customHeight="true" outlineLevel="0" collapsed="false">
      <c r="A10" s="25" t="s">
        <v>441</v>
      </c>
      <c r="B10" s="20" t="s">
        <v>509</v>
      </c>
      <c r="C10" s="22" t="s">
        <v>510</v>
      </c>
      <c r="D10" s="22" t="s">
        <v>511</v>
      </c>
      <c r="E10" s="22"/>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60"/>
  </cols>
  <sheetData>
    <row r="1" customFormat="false" ht="27.75" hidden="false" customHeight="true" outlineLevel="0" collapsed="false">
      <c r="A1" s="31" t="s">
        <v>512</v>
      </c>
      <c r="B1" s="31"/>
      <c r="C1" s="31"/>
    </row>
    <row r="3" customFormat="false" ht="15" hidden="false" customHeight="false" outlineLevel="0" collapsed="false">
      <c r="A3" s="10" t="s">
        <v>95</v>
      </c>
      <c r="B3" s="10" t="s">
        <v>513</v>
      </c>
      <c r="C3" s="10" t="s">
        <v>97</v>
      </c>
    </row>
    <row r="4" customFormat="false" ht="15" hidden="false" customHeight="false" outlineLevel="0" collapsed="false">
      <c r="A4" s="32" t="s">
        <v>102</v>
      </c>
      <c r="B4" s="32" t="s">
        <v>103</v>
      </c>
      <c r="C4" s="32" t="s">
        <v>104</v>
      </c>
    </row>
    <row r="5" customFormat="false" ht="15" hidden="false" customHeight="false" outlineLevel="0" collapsed="false">
      <c r="A5" s="33" t="s">
        <v>125</v>
      </c>
      <c r="B5" s="33" t="s">
        <v>126</v>
      </c>
      <c r="C5" s="33" t="s">
        <v>127</v>
      </c>
    </row>
    <row r="6" customFormat="false" ht="15" hidden="false" customHeight="false" outlineLevel="0" collapsed="false">
      <c r="A6" s="34" t="s">
        <v>138</v>
      </c>
      <c r="B6" s="34" t="s">
        <v>139</v>
      </c>
      <c r="C6" s="34" t="s">
        <v>140</v>
      </c>
    </row>
    <row r="7" customFormat="false" ht="15" hidden="false" customHeight="false" outlineLevel="0" collapsed="false">
      <c r="A7" s="32" t="s">
        <v>151</v>
      </c>
      <c r="B7" s="32" t="s">
        <v>152</v>
      </c>
      <c r="C7" s="32" t="s">
        <v>153</v>
      </c>
    </row>
    <row r="8" customFormat="false" ht="15" hidden="false" customHeight="false" outlineLevel="0" collapsed="false">
      <c r="A8" s="33" t="s">
        <v>164</v>
      </c>
      <c r="B8" s="33" t="s">
        <v>165</v>
      </c>
      <c r="C8" s="33" t="s">
        <v>166</v>
      </c>
    </row>
    <row r="9" customFormat="false" ht="15" hidden="false" customHeight="false" outlineLevel="0" collapsed="false">
      <c r="A9" s="32" t="s">
        <v>177</v>
      </c>
      <c r="B9" s="32" t="s">
        <v>178</v>
      </c>
      <c r="C9" s="32" t="s">
        <v>179</v>
      </c>
    </row>
    <row r="10" customFormat="false" ht="15" hidden="false" customHeight="false" outlineLevel="0" collapsed="false">
      <c r="A10" s="32" t="s">
        <v>190</v>
      </c>
      <c r="B10" s="32" t="s">
        <v>191</v>
      </c>
      <c r="C10" s="32" t="s">
        <v>192</v>
      </c>
    </row>
    <row r="11" customFormat="false" ht="15" hidden="false" customHeight="false" outlineLevel="0" collapsed="false">
      <c r="A11" s="33" t="s">
        <v>203</v>
      </c>
      <c r="B11" s="33" t="s">
        <v>103</v>
      </c>
      <c r="C11" s="33" t="s">
        <v>204</v>
      </c>
    </row>
    <row r="12" customFormat="false" ht="15" hidden="false" customHeight="false" outlineLevel="0" collapsed="false">
      <c r="A12" s="34" t="s">
        <v>215</v>
      </c>
      <c r="B12" s="34" t="s">
        <v>126</v>
      </c>
      <c r="C12" s="34" t="s">
        <v>216</v>
      </c>
    </row>
    <row r="13" customFormat="false" ht="15" hidden="false" customHeight="false" outlineLevel="0" collapsed="false">
      <c r="A13" s="35" t="s">
        <v>227</v>
      </c>
      <c r="B13" s="35" t="s">
        <v>139</v>
      </c>
      <c r="C13" s="35" t="s">
        <v>228</v>
      </c>
    </row>
    <row r="14" customFormat="false" ht="15" hidden="false" customHeight="false" outlineLevel="0" collapsed="false">
      <c r="A14" s="32" t="s">
        <v>239</v>
      </c>
      <c r="B14" s="32" t="s">
        <v>152</v>
      </c>
      <c r="C14" s="32" t="s">
        <v>240</v>
      </c>
    </row>
    <row r="15" customFormat="false" ht="15" hidden="false" customHeight="false" outlineLevel="0" collapsed="false">
      <c r="A15" s="32" t="s">
        <v>251</v>
      </c>
      <c r="B15" s="32" t="s">
        <v>165</v>
      </c>
      <c r="C15" s="32" t="s">
        <v>252</v>
      </c>
    </row>
    <row r="16" customFormat="false" ht="15" hidden="false" customHeight="false" outlineLevel="0" collapsed="false">
      <c r="A16" s="32" t="s">
        <v>263</v>
      </c>
      <c r="B16" s="32" t="s">
        <v>178</v>
      </c>
      <c r="C16" s="32" t="s">
        <v>264</v>
      </c>
    </row>
    <row r="17" customFormat="false" ht="15" hidden="false" customHeight="false" outlineLevel="0" collapsed="false">
      <c r="A17" s="32" t="s">
        <v>275</v>
      </c>
      <c r="B17" s="32" t="s">
        <v>191</v>
      </c>
      <c r="C17" s="32" t="s">
        <v>276</v>
      </c>
    </row>
    <row r="18" customFormat="false" ht="15" hidden="false" customHeight="false" outlineLevel="0" collapsed="false">
      <c r="A18" s="32" t="s">
        <v>287</v>
      </c>
      <c r="B18" s="32" t="s">
        <v>103</v>
      </c>
      <c r="C18" s="32" t="s">
        <v>288</v>
      </c>
    </row>
    <row r="19" customFormat="false" ht="15" hidden="false" customHeight="false" outlineLevel="0" collapsed="false">
      <c r="A19" s="35" t="s">
        <v>299</v>
      </c>
      <c r="B19" s="35" t="s">
        <v>126</v>
      </c>
      <c r="C19" s="35" t="s">
        <v>300</v>
      </c>
    </row>
    <row r="20" customFormat="false" ht="15" hidden="false" customHeight="false" outlineLevel="0" collapsed="false">
      <c r="A20" s="34" t="s">
        <v>311</v>
      </c>
      <c r="B20" s="34" t="s">
        <v>139</v>
      </c>
      <c r="C20" s="34" t="s">
        <v>312</v>
      </c>
    </row>
    <row r="21" customFormat="false" ht="15" hidden="false" customHeight="false" outlineLevel="0" collapsed="false">
      <c r="A21" s="32" t="s">
        <v>323</v>
      </c>
      <c r="B21" s="32" t="s">
        <v>152</v>
      </c>
      <c r="C21" s="32" t="s">
        <v>324</v>
      </c>
    </row>
    <row r="22" customFormat="false" ht="15" hidden="false" customHeight="false" outlineLevel="0" collapsed="false">
      <c r="A22" s="32" t="s">
        <v>335</v>
      </c>
      <c r="B22" s="32" t="s">
        <v>165</v>
      </c>
      <c r="C22" s="32" t="s">
        <v>336</v>
      </c>
    </row>
    <row r="23" customFormat="false" ht="15" hidden="false" customHeight="false" outlineLevel="0" collapsed="false">
      <c r="A23" s="32" t="s">
        <v>347</v>
      </c>
      <c r="B23" s="32" t="s">
        <v>178</v>
      </c>
      <c r="C23" s="32" t="s">
        <v>348</v>
      </c>
    </row>
    <row r="24" customFormat="false" ht="15" hidden="false" customHeight="false" outlineLevel="0" collapsed="false">
      <c r="A24" s="32" t="s">
        <v>358</v>
      </c>
      <c r="B24" s="32" t="s">
        <v>191</v>
      </c>
      <c r="C24" s="32" t="s">
        <v>359</v>
      </c>
    </row>
    <row r="25" customFormat="false" ht="15" hidden="false" customHeight="false" outlineLevel="0" collapsed="false">
      <c r="A25" s="32" t="s">
        <v>370</v>
      </c>
      <c r="B25" s="32" t="s">
        <v>103</v>
      </c>
      <c r="C25" s="32" t="s">
        <v>371</v>
      </c>
    </row>
    <row r="26" customFormat="false" ht="15" hidden="false" customHeight="false" outlineLevel="0" collapsed="false">
      <c r="A26" s="34" t="s">
        <v>382</v>
      </c>
      <c r="B26" s="34" t="s">
        <v>126</v>
      </c>
      <c r="C26" s="34" t="s">
        <v>383</v>
      </c>
    </row>
    <row r="27" customFormat="false" ht="15" hidden="false" customHeight="false" outlineLevel="0" collapsed="false">
      <c r="A27" s="34" t="s">
        <v>394</v>
      </c>
      <c r="B27" s="34" t="s">
        <v>139</v>
      </c>
      <c r="C27" s="34" t="s">
        <v>395</v>
      </c>
    </row>
    <row r="28" customFormat="false" ht="15" hidden="false" customHeight="false" outlineLevel="0" collapsed="false">
      <c r="A28" s="35" t="s">
        <v>406</v>
      </c>
      <c r="B28" s="35" t="s">
        <v>152</v>
      </c>
      <c r="C28" s="35" t="s">
        <v>407</v>
      </c>
    </row>
    <row r="29" customFormat="false" ht="15" hidden="false" customHeight="false" outlineLevel="0" collapsed="false">
      <c r="A29" s="32" t="s">
        <v>418</v>
      </c>
      <c r="B29" s="32" t="s">
        <v>165</v>
      </c>
      <c r="C29" s="32" t="s">
        <v>419</v>
      </c>
    </row>
    <row r="30" customFormat="false" ht="15" hidden="false" customHeight="false" outlineLevel="0" collapsed="false">
      <c r="A30" s="32" t="s">
        <v>429</v>
      </c>
      <c r="B30" s="32" t="s">
        <v>178</v>
      </c>
      <c r="C30" s="32" t="s">
        <v>430</v>
      </c>
    </row>
    <row r="31" customFormat="false" ht="15" hidden="false" customHeight="false" outlineLevel="0" collapsed="false">
      <c r="A31" s="33" t="s">
        <v>441</v>
      </c>
      <c r="B31" s="33" t="s">
        <v>191</v>
      </c>
      <c r="C31" s="33" t="s">
        <v>442</v>
      </c>
    </row>
    <row r="32" customFormat="false" ht="15" hidden="false" customHeight="false" outlineLevel="0" collapsed="false">
      <c r="A32" s="32" t="s">
        <v>453</v>
      </c>
      <c r="B32" s="32" t="s">
        <v>103</v>
      </c>
      <c r="C32" s="32" t="s">
        <v>454</v>
      </c>
    </row>
    <row r="33" customFormat="false" ht="15" hidden="false" customHeight="false" outlineLevel="0" collapsed="false">
      <c r="A33" s="34" t="s">
        <v>465</v>
      </c>
      <c r="B33" s="34" t="s">
        <v>126</v>
      </c>
      <c r="C33" s="34" t="s">
        <v>466</v>
      </c>
    </row>
    <row r="34" customFormat="false" ht="15" hidden="false" customHeight="false" outlineLevel="0" collapsed="false">
      <c r="A34" s="34" t="s">
        <v>476</v>
      </c>
      <c r="B34" s="34" t="s">
        <v>139</v>
      </c>
      <c r="C34" s="34" t="s">
        <v>477</v>
      </c>
    </row>
  </sheetData>
  <mergeCells count="1">
    <mergeCell ref="A1:C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2"/>
    <col collapsed="false" customWidth="true" hidden="false" outlineLevel="0" max="4" min="4" style="0" width="50"/>
  </cols>
  <sheetData>
    <row r="1" customFormat="false" ht="27.75" hidden="false" customHeight="true" outlineLevel="0" collapsed="false">
      <c r="A1" s="31" t="s">
        <v>514</v>
      </c>
      <c r="B1" s="31"/>
      <c r="C1" s="31"/>
      <c r="D1" s="31"/>
    </row>
    <row r="2" customFormat="false" ht="15" hidden="false" customHeight="false" outlineLevel="0" collapsed="false">
      <c r="A2" s="36" t="s">
        <v>515</v>
      </c>
      <c r="B2" s="36"/>
      <c r="C2" s="36"/>
      <c r="D2" s="36"/>
    </row>
    <row r="4" customFormat="false" ht="27.75" hidden="false" customHeight="true" outlineLevel="0" collapsed="false">
      <c r="A4" s="19" t="s">
        <v>516</v>
      </c>
      <c r="B4" s="19" t="s">
        <v>517</v>
      </c>
      <c r="C4" s="19" t="s">
        <v>518</v>
      </c>
      <c r="D4" s="19" t="s">
        <v>519</v>
      </c>
    </row>
    <row r="5" customFormat="false" ht="15" hidden="false" customHeight="false" outlineLevel="0" collapsed="false">
      <c r="A5" s="37" t="n">
        <v>1</v>
      </c>
      <c r="B5" s="38" t="s">
        <v>520</v>
      </c>
      <c r="C5" s="38"/>
      <c r="D5" s="38"/>
    </row>
    <row r="6" customFormat="false" ht="15" hidden="false" customHeight="false" outlineLevel="0" collapsed="false">
      <c r="A6" s="37" t="n">
        <v>2</v>
      </c>
      <c r="B6" s="38" t="s">
        <v>521</v>
      </c>
      <c r="C6" s="38"/>
      <c r="D6" s="38"/>
    </row>
    <row r="7" customFormat="false" ht="15" hidden="false" customHeight="false" outlineLevel="0" collapsed="false">
      <c r="A7" s="37" t="n">
        <v>3</v>
      </c>
      <c r="B7" s="38" t="s">
        <v>522</v>
      </c>
      <c r="C7" s="38"/>
      <c r="D7" s="38"/>
    </row>
    <row r="8" customFormat="false" ht="15" hidden="false" customHeight="false" outlineLevel="0" collapsed="false">
      <c r="A8" s="37" t="n">
        <v>4</v>
      </c>
      <c r="B8" s="38" t="s">
        <v>523</v>
      </c>
      <c r="C8" s="38"/>
      <c r="D8" s="38"/>
    </row>
    <row r="9" customFormat="false" ht="15" hidden="false" customHeight="false" outlineLevel="0" collapsed="false">
      <c r="A9" s="37" t="n">
        <v>5</v>
      </c>
      <c r="B9" s="38" t="s">
        <v>524</v>
      </c>
      <c r="C9" s="38"/>
      <c r="D9" s="38"/>
    </row>
    <row r="10" customFormat="false" ht="15" hidden="false" customHeight="false" outlineLevel="0" collapsed="false">
      <c r="A10" s="37" t="n">
        <v>6</v>
      </c>
      <c r="B10" s="38" t="s">
        <v>525</v>
      </c>
      <c r="C10" s="38"/>
      <c r="D10" s="38"/>
    </row>
    <row r="11" customFormat="false" ht="15" hidden="false" customHeight="false" outlineLevel="0" collapsed="false">
      <c r="A11" s="37" t="n">
        <v>7</v>
      </c>
      <c r="B11" s="38" t="s">
        <v>526</v>
      </c>
      <c r="C11" s="38"/>
      <c r="D11" s="38"/>
    </row>
    <row r="12" customFormat="false" ht="15" hidden="false" customHeight="false" outlineLevel="0" collapsed="false">
      <c r="A12" s="37" t="n">
        <v>8</v>
      </c>
      <c r="B12" s="38" t="s">
        <v>527</v>
      </c>
      <c r="C12" s="38"/>
      <c r="D12" s="38"/>
    </row>
    <row r="13" customFormat="false" ht="15" hidden="false" customHeight="false" outlineLevel="0" collapsed="false">
      <c r="A13" s="37" t="n">
        <v>9</v>
      </c>
      <c r="B13" s="38" t="s">
        <v>528</v>
      </c>
      <c r="C13" s="38"/>
      <c r="D13" s="38"/>
    </row>
    <row r="14" customFormat="false" ht="15" hidden="false" customHeight="false" outlineLevel="0" collapsed="false">
      <c r="A14" s="37" t="n">
        <v>10</v>
      </c>
      <c r="B14" s="38" t="s">
        <v>529</v>
      </c>
      <c r="C14" s="38"/>
      <c r="D14" s="38"/>
    </row>
    <row r="15" customFormat="false" ht="15" hidden="false" customHeight="false" outlineLevel="0" collapsed="false">
      <c r="A15" s="37" t="n">
        <v>11</v>
      </c>
      <c r="B15" s="38" t="s">
        <v>530</v>
      </c>
      <c r="C15" s="38"/>
      <c r="D15" s="38"/>
    </row>
    <row r="16" customFormat="false" ht="15" hidden="false" customHeight="false" outlineLevel="0" collapsed="false">
      <c r="A16" s="37" t="n">
        <v>12</v>
      </c>
      <c r="B16" s="38" t="s">
        <v>531</v>
      </c>
      <c r="C16" s="38"/>
      <c r="D16" s="38"/>
    </row>
    <row r="17" customFormat="false" ht="15" hidden="false" customHeight="false" outlineLevel="0" collapsed="false">
      <c r="A17" s="37" t="n">
        <v>13</v>
      </c>
      <c r="B17" s="38" t="s">
        <v>532</v>
      </c>
      <c r="C17" s="38"/>
      <c r="D17" s="38"/>
    </row>
    <row r="18" customFormat="false" ht="15" hidden="false" customHeight="false" outlineLevel="0" collapsed="false">
      <c r="A18" s="37" t="n">
        <v>14</v>
      </c>
      <c r="B18" s="38" t="s">
        <v>533</v>
      </c>
      <c r="C18" s="38"/>
      <c r="D18" s="38"/>
    </row>
    <row r="19" customFormat="false" ht="15" hidden="false" customHeight="false" outlineLevel="0" collapsed="false">
      <c r="A19" s="37" t="n">
        <v>15</v>
      </c>
      <c r="B19" s="38" t="s">
        <v>534</v>
      </c>
      <c r="C19" s="38"/>
      <c r="D19" s="38"/>
    </row>
    <row r="20" customFormat="false" ht="15" hidden="false" customHeight="false" outlineLevel="0" collapsed="false">
      <c r="A20" s="37" t="n">
        <v>16</v>
      </c>
      <c r="B20" s="38" t="s">
        <v>535</v>
      </c>
      <c r="C20" s="38"/>
      <c r="D20" s="38"/>
    </row>
    <row r="21" customFormat="false" ht="15" hidden="false" customHeight="false" outlineLevel="0" collapsed="false">
      <c r="A21" s="37" t="n">
        <v>17</v>
      </c>
      <c r="B21" s="38" t="s">
        <v>536</v>
      </c>
      <c r="C21" s="38"/>
      <c r="D21" s="38"/>
    </row>
    <row r="22" customFormat="false" ht="15" hidden="false" customHeight="false" outlineLevel="0" collapsed="false">
      <c r="A22" s="37" t="n">
        <v>18</v>
      </c>
      <c r="B22" s="38" t="s">
        <v>537</v>
      </c>
      <c r="C22" s="38"/>
      <c r="D22" s="38"/>
    </row>
    <row r="23" customFormat="false" ht="15" hidden="false" customHeight="false" outlineLevel="0" collapsed="false">
      <c r="A23" s="37" t="n">
        <v>19</v>
      </c>
      <c r="B23" s="38" t="s">
        <v>538</v>
      </c>
      <c r="C23" s="38"/>
      <c r="D23" s="38"/>
    </row>
    <row r="24" customFormat="false" ht="15" hidden="false" customHeight="false" outlineLevel="0" collapsed="false">
      <c r="A24" s="37" t="n">
        <v>20</v>
      </c>
      <c r="B24" s="38" t="s">
        <v>539</v>
      </c>
      <c r="C24" s="38"/>
      <c r="D24" s="38"/>
    </row>
    <row r="25" customFormat="false" ht="15" hidden="false" customHeight="false" outlineLevel="0" collapsed="false">
      <c r="A25" s="37" t="n">
        <v>21</v>
      </c>
      <c r="B25" s="38"/>
      <c r="C25" s="38"/>
      <c r="D25" s="38"/>
    </row>
    <row r="26" customFormat="false" ht="15" hidden="false" customHeight="false" outlineLevel="0" collapsed="false">
      <c r="A26" s="37" t="n">
        <v>22</v>
      </c>
      <c r="B26" s="38"/>
      <c r="C26" s="38"/>
      <c r="D26" s="38"/>
    </row>
    <row r="27" customFormat="false" ht="15" hidden="false" customHeight="false" outlineLevel="0" collapsed="false">
      <c r="A27" s="37" t="n">
        <v>23</v>
      </c>
      <c r="B27" s="38"/>
      <c r="C27" s="38"/>
      <c r="D27" s="38"/>
    </row>
    <row r="28" customFormat="false" ht="15" hidden="false" customHeight="false" outlineLevel="0" collapsed="false">
      <c r="A28" s="37" t="n">
        <v>24</v>
      </c>
      <c r="B28" s="38"/>
      <c r="C28" s="38"/>
      <c r="D28" s="38"/>
    </row>
    <row r="29" customFormat="false" ht="15" hidden="false" customHeight="false" outlineLevel="0" collapsed="false">
      <c r="A29" s="37" t="n">
        <v>25</v>
      </c>
      <c r="B29" s="38"/>
      <c r="C29" s="38"/>
      <c r="D29" s="38"/>
    </row>
    <row r="30" customFormat="false" ht="15" hidden="false" customHeight="false" outlineLevel="0" collapsed="false">
      <c r="A30" s="37" t="n">
        <v>26</v>
      </c>
      <c r="B30" s="38"/>
      <c r="C30" s="38"/>
      <c r="D30" s="38"/>
    </row>
    <row r="31" customFormat="false" ht="15" hidden="false" customHeight="false" outlineLevel="0" collapsed="false">
      <c r="A31" s="37" t="n">
        <v>27</v>
      </c>
      <c r="B31" s="38"/>
      <c r="C31" s="38"/>
      <c r="D31" s="38"/>
    </row>
    <row r="32" customFormat="false" ht="15" hidden="false" customHeight="false" outlineLevel="0" collapsed="false">
      <c r="A32" s="37" t="n">
        <v>28</v>
      </c>
      <c r="B32" s="38"/>
      <c r="C32" s="38"/>
      <c r="D32" s="38"/>
    </row>
    <row r="33" customFormat="false" ht="15" hidden="false" customHeight="false" outlineLevel="0" collapsed="false">
      <c r="A33" s="37" t="n">
        <v>29</v>
      </c>
      <c r="B33" s="38"/>
      <c r="C33" s="38"/>
      <c r="D33" s="38"/>
    </row>
    <row r="34" customFormat="false" ht="15" hidden="false" customHeight="false" outlineLevel="0" collapsed="false">
      <c r="A34" s="37" t="n">
        <v>30</v>
      </c>
      <c r="B34" s="38"/>
      <c r="C34" s="38"/>
      <c r="D34" s="38"/>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56" min="2" style="0" width="4"/>
    <col collapsed="false" customWidth="true" hidden="false" outlineLevel="0" max="161" min="157" style="0" width="10"/>
  </cols>
  <sheetData>
    <row r="1" customFormat="false" ht="27.75" hidden="false" customHeight="true" outlineLevel="0" collapsed="false">
      <c r="A1" s="31" t="s">
        <v>540</v>
      </c>
      <c r="B1" s="31"/>
      <c r="C1" s="31"/>
      <c r="D1" s="31"/>
      <c r="E1" s="31"/>
      <c r="F1" s="31"/>
      <c r="G1" s="31"/>
    </row>
    <row r="2" customFormat="false" ht="15" hidden="false" customHeight="false" outlineLevel="0" collapsed="false">
      <c r="A2" s="39" t="s">
        <v>541</v>
      </c>
      <c r="B2" s="39"/>
      <c r="C2" s="39"/>
      <c r="D2" s="39"/>
      <c r="E2" s="39"/>
      <c r="F2" s="39"/>
      <c r="G2" s="39"/>
    </row>
    <row r="3" customFormat="false" ht="31.5" hidden="false" customHeight="true" outlineLevel="0" collapsed="false">
      <c r="A3" s="10" t="s">
        <v>542</v>
      </c>
      <c r="B3" s="40" t="s">
        <v>543</v>
      </c>
      <c r="C3" s="40"/>
      <c r="D3" s="40"/>
      <c r="E3" s="40"/>
      <c r="F3" s="40"/>
      <c r="G3" s="41" t="s">
        <v>544</v>
      </c>
      <c r="H3" s="41"/>
      <c r="I3" s="41"/>
      <c r="J3" s="41"/>
      <c r="K3" s="41"/>
      <c r="L3" s="42" t="s">
        <v>545</v>
      </c>
      <c r="M3" s="42"/>
      <c r="N3" s="42"/>
      <c r="O3" s="42"/>
      <c r="P3" s="42"/>
      <c r="Q3" s="43" t="s">
        <v>546</v>
      </c>
      <c r="R3" s="43"/>
      <c r="S3" s="43"/>
      <c r="T3" s="43"/>
      <c r="U3" s="43"/>
      <c r="V3" s="44" t="s">
        <v>547</v>
      </c>
      <c r="W3" s="44"/>
      <c r="X3" s="44"/>
      <c r="Y3" s="44"/>
      <c r="Z3" s="44"/>
      <c r="AA3" s="45" t="s">
        <v>548</v>
      </c>
      <c r="AB3" s="45"/>
      <c r="AC3" s="45"/>
      <c r="AD3" s="45"/>
      <c r="AE3" s="45"/>
      <c r="AF3" s="46" t="s">
        <v>549</v>
      </c>
      <c r="AG3" s="46"/>
      <c r="AH3" s="46"/>
      <c r="AI3" s="46"/>
      <c r="AJ3" s="46"/>
      <c r="AK3" s="40" t="s">
        <v>550</v>
      </c>
      <c r="AL3" s="40"/>
      <c r="AM3" s="40"/>
      <c r="AN3" s="40"/>
      <c r="AO3" s="40"/>
      <c r="AP3" s="41" t="s">
        <v>551</v>
      </c>
      <c r="AQ3" s="41"/>
      <c r="AR3" s="41"/>
      <c r="AS3" s="41"/>
      <c r="AT3" s="41"/>
      <c r="AU3" s="42" t="s">
        <v>552</v>
      </c>
      <c r="AV3" s="42"/>
      <c r="AW3" s="42"/>
      <c r="AX3" s="42"/>
      <c r="AY3" s="42"/>
      <c r="AZ3" s="43" t="s">
        <v>553</v>
      </c>
      <c r="BA3" s="43"/>
      <c r="BB3" s="43"/>
      <c r="BC3" s="43"/>
      <c r="BD3" s="43"/>
      <c r="BE3" s="44" t="s">
        <v>554</v>
      </c>
      <c r="BF3" s="44"/>
      <c r="BG3" s="44"/>
      <c r="BH3" s="44"/>
      <c r="BI3" s="44"/>
      <c r="BJ3" s="45" t="s">
        <v>555</v>
      </c>
      <c r="BK3" s="45"/>
      <c r="BL3" s="45"/>
      <c r="BM3" s="45"/>
      <c r="BN3" s="45"/>
      <c r="BO3" s="46" t="s">
        <v>556</v>
      </c>
      <c r="BP3" s="46"/>
      <c r="BQ3" s="46"/>
      <c r="BR3" s="46"/>
      <c r="BS3" s="46"/>
      <c r="BT3" s="40" t="s">
        <v>557</v>
      </c>
      <c r="BU3" s="40"/>
      <c r="BV3" s="40"/>
      <c r="BW3" s="40"/>
      <c r="BX3" s="40"/>
      <c r="BY3" s="41" t="s">
        <v>558</v>
      </c>
      <c r="BZ3" s="41"/>
      <c r="CA3" s="41"/>
      <c r="CB3" s="41"/>
      <c r="CC3" s="41"/>
      <c r="CD3" s="42" t="s">
        <v>559</v>
      </c>
      <c r="CE3" s="42"/>
      <c r="CF3" s="42"/>
      <c r="CG3" s="42"/>
      <c r="CH3" s="42"/>
      <c r="CI3" s="43" t="s">
        <v>560</v>
      </c>
      <c r="CJ3" s="43"/>
      <c r="CK3" s="43"/>
      <c r="CL3" s="43"/>
      <c r="CM3" s="43"/>
      <c r="CN3" s="44" t="s">
        <v>561</v>
      </c>
      <c r="CO3" s="44"/>
      <c r="CP3" s="44"/>
      <c r="CQ3" s="44"/>
      <c r="CR3" s="44"/>
      <c r="CS3" s="45" t="s">
        <v>562</v>
      </c>
      <c r="CT3" s="45"/>
      <c r="CU3" s="45"/>
      <c r="CV3" s="45"/>
      <c r="CW3" s="45"/>
      <c r="CX3" s="46" t="s">
        <v>563</v>
      </c>
      <c r="CY3" s="46"/>
      <c r="CZ3" s="46"/>
      <c r="DA3" s="46"/>
      <c r="DB3" s="46"/>
      <c r="DC3" s="40" t="s">
        <v>564</v>
      </c>
      <c r="DD3" s="40"/>
      <c r="DE3" s="40"/>
      <c r="DF3" s="40"/>
      <c r="DG3" s="40"/>
      <c r="DH3" s="41" t="s">
        <v>565</v>
      </c>
      <c r="DI3" s="41"/>
      <c r="DJ3" s="41"/>
      <c r="DK3" s="41"/>
      <c r="DL3" s="41"/>
      <c r="DM3" s="42" t="s">
        <v>566</v>
      </c>
      <c r="DN3" s="42"/>
      <c r="DO3" s="42"/>
      <c r="DP3" s="42"/>
      <c r="DQ3" s="42"/>
      <c r="DR3" s="43" t="s">
        <v>567</v>
      </c>
      <c r="DS3" s="43"/>
      <c r="DT3" s="43"/>
      <c r="DU3" s="43"/>
      <c r="DV3" s="43"/>
      <c r="DW3" s="44" t="s">
        <v>568</v>
      </c>
      <c r="DX3" s="44"/>
      <c r="DY3" s="44"/>
      <c r="DZ3" s="44"/>
      <c r="EA3" s="44"/>
      <c r="EB3" s="45" t="s">
        <v>569</v>
      </c>
      <c r="EC3" s="45"/>
      <c r="ED3" s="45"/>
      <c r="EE3" s="45"/>
      <c r="EF3" s="45"/>
      <c r="EG3" s="46" t="s">
        <v>570</v>
      </c>
      <c r="EH3" s="46"/>
      <c r="EI3" s="46"/>
      <c r="EJ3" s="46"/>
      <c r="EK3" s="46"/>
      <c r="EL3" s="40" t="s">
        <v>571</v>
      </c>
      <c r="EM3" s="40"/>
      <c r="EN3" s="40"/>
      <c r="EO3" s="40"/>
      <c r="EP3" s="40"/>
      <c r="EQ3" s="41" t="s">
        <v>572</v>
      </c>
      <c r="ER3" s="41"/>
      <c r="ES3" s="41"/>
      <c r="ET3" s="41"/>
      <c r="EU3" s="41"/>
      <c r="EV3" s="42" t="s">
        <v>573</v>
      </c>
      <c r="EW3" s="42"/>
      <c r="EX3" s="42"/>
      <c r="EY3" s="42"/>
      <c r="EZ3" s="42"/>
      <c r="FA3" s="47" t="s">
        <v>574</v>
      </c>
      <c r="FB3" s="48" t="s">
        <v>575</v>
      </c>
      <c r="FC3" s="49" t="s">
        <v>576</v>
      </c>
      <c r="FD3" s="50" t="s">
        <v>577</v>
      </c>
      <c r="FE3" s="51" t="s">
        <v>578</v>
      </c>
    </row>
    <row r="4" customFormat="false" ht="15.75" hidden="false" customHeight="true" outlineLevel="0" collapsed="false">
      <c r="A4" s="10"/>
      <c r="B4" s="52" t="s">
        <v>579</v>
      </c>
      <c r="C4" s="52" t="s">
        <v>580</v>
      </c>
      <c r="D4" s="52" t="s">
        <v>581</v>
      </c>
      <c r="E4" s="52" t="s">
        <v>582</v>
      </c>
      <c r="F4" s="52" t="s">
        <v>583</v>
      </c>
      <c r="G4" s="52" t="s">
        <v>579</v>
      </c>
      <c r="H4" s="52" t="s">
        <v>580</v>
      </c>
      <c r="I4" s="52" t="s">
        <v>581</v>
      </c>
      <c r="J4" s="52" t="s">
        <v>582</v>
      </c>
      <c r="K4" s="52" t="s">
        <v>583</v>
      </c>
      <c r="L4" s="52" t="s">
        <v>579</v>
      </c>
      <c r="M4" s="52" t="s">
        <v>580</v>
      </c>
      <c r="N4" s="52" t="s">
        <v>581</v>
      </c>
      <c r="O4" s="52" t="s">
        <v>582</v>
      </c>
      <c r="P4" s="52" t="s">
        <v>583</v>
      </c>
      <c r="Q4" s="52" t="s">
        <v>579</v>
      </c>
      <c r="R4" s="52" t="s">
        <v>580</v>
      </c>
      <c r="S4" s="52" t="s">
        <v>581</v>
      </c>
      <c r="T4" s="52" t="s">
        <v>582</v>
      </c>
      <c r="U4" s="52" t="s">
        <v>583</v>
      </c>
      <c r="V4" s="52" t="s">
        <v>579</v>
      </c>
      <c r="W4" s="52" t="s">
        <v>580</v>
      </c>
      <c r="X4" s="52" t="s">
        <v>581</v>
      </c>
      <c r="Y4" s="52" t="s">
        <v>582</v>
      </c>
      <c r="Z4" s="52" t="s">
        <v>583</v>
      </c>
      <c r="AA4" s="52" t="s">
        <v>579</v>
      </c>
      <c r="AB4" s="52" t="s">
        <v>580</v>
      </c>
      <c r="AC4" s="52" t="s">
        <v>581</v>
      </c>
      <c r="AD4" s="52" t="s">
        <v>582</v>
      </c>
      <c r="AE4" s="52" t="s">
        <v>583</v>
      </c>
      <c r="AF4" s="52" t="s">
        <v>579</v>
      </c>
      <c r="AG4" s="52" t="s">
        <v>580</v>
      </c>
      <c r="AH4" s="52" t="s">
        <v>581</v>
      </c>
      <c r="AI4" s="52" t="s">
        <v>582</v>
      </c>
      <c r="AJ4" s="52" t="s">
        <v>583</v>
      </c>
      <c r="AK4" s="52" t="s">
        <v>579</v>
      </c>
      <c r="AL4" s="52" t="s">
        <v>580</v>
      </c>
      <c r="AM4" s="52" t="s">
        <v>581</v>
      </c>
      <c r="AN4" s="52" t="s">
        <v>582</v>
      </c>
      <c r="AO4" s="52" t="s">
        <v>583</v>
      </c>
      <c r="AP4" s="52" t="s">
        <v>579</v>
      </c>
      <c r="AQ4" s="52" t="s">
        <v>580</v>
      </c>
      <c r="AR4" s="52" t="s">
        <v>581</v>
      </c>
      <c r="AS4" s="52" t="s">
        <v>582</v>
      </c>
      <c r="AT4" s="52" t="s">
        <v>583</v>
      </c>
      <c r="AU4" s="52" t="s">
        <v>579</v>
      </c>
      <c r="AV4" s="52" t="s">
        <v>580</v>
      </c>
      <c r="AW4" s="52" t="s">
        <v>581</v>
      </c>
      <c r="AX4" s="52" t="s">
        <v>582</v>
      </c>
      <c r="AY4" s="52" t="s">
        <v>583</v>
      </c>
      <c r="AZ4" s="52" t="s">
        <v>579</v>
      </c>
      <c r="BA4" s="52" t="s">
        <v>580</v>
      </c>
      <c r="BB4" s="52" t="s">
        <v>581</v>
      </c>
      <c r="BC4" s="52" t="s">
        <v>582</v>
      </c>
      <c r="BD4" s="52" t="s">
        <v>583</v>
      </c>
      <c r="BE4" s="52" t="s">
        <v>579</v>
      </c>
      <c r="BF4" s="52" t="s">
        <v>580</v>
      </c>
      <c r="BG4" s="52" t="s">
        <v>581</v>
      </c>
      <c r="BH4" s="52" t="s">
        <v>582</v>
      </c>
      <c r="BI4" s="52" t="s">
        <v>583</v>
      </c>
      <c r="BJ4" s="52" t="s">
        <v>579</v>
      </c>
      <c r="BK4" s="52" t="s">
        <v>580</v>
      </c>
      <c r="BL4" s="52" t="s">
        <v>581</v>
      </c>
      <c r="BM4" s="52" t="s">
        <v>582</v>
      </c>
      <c r="BN4" s="52" t="s">
        <v>583</v>
      </c>
      <c r="BO4" s="52" t="s">
        <v>579</v>
      </c>
      <c r="BP4" s="52" t="s">
        <v>580</v>
      </c>
      <c r="BQ4" s="52" t="s">
        <v>581</v>
      </c>
      <c r="BR4" s="52" t="s">
        <v>582</v>
      </c>
      <c r="BS4" s="52" t="s">
        <v>583</v>
      </c>
      <c r="BT4" s="52" t="s">
        <v>579</v>
      </c>
      <c r="BU4" s="52" t="s">
        <v>580</v>
      </c>
      <c r="BV4" s="52" t="s">
        <v>581</v>
      </c>
      <c r="BW4" s="52" t="s">
        <v>582</v>
      </c>
      <c r="BX4" s="52" t="s">
        <v>583</v>
      </c>
      <c r="BY4" s="52" t="s">
        <v>579</v>
      </c>
      <c r="BZ4" s="52" t="s">
        <v>580</v>
      </c>
      <c r="CA4" s="52" t="s">
        <v>581</v>
      </c>
      <c r="CB4" s="52" t="s">
        <v>582</v>
      </c>
      <c r="CC4" s="52" t="s">
        <v>583</v>
      </c>
      <c r="CD4" s="52" t="s">
        <v>579</v>
      </c>
      <c r="CE4" s="52" t="s">
        <v>580</v>
      </c>
      <c r="CF4" s="52" t="s">
        <v>581</v>
      </c>
      <c r="CG4" s="52" t="s">
        <v>582</v>
      </c>
      <c r="CH4" s="52" t="s">
        <v>583</v>
      </c>
      <c r="CI4" s="52" t="s">
        <v>579</v>
      </c>
      <c r="CJ4" s="52" t="s">
        <v>580</v>
      </c>
      <c r="CK4" s="52" t="s">
        <v>581</v>
      </c>
      <c r="CL4" s="52" t="s">
        <v>582</v>
      </c>
      <c r="CM4" s="52" t="s">
        <v>583</v>
      </c>
      <c r="CN4" s="52" t="s">
        <v>579</v>
      </c>
      <c r="CO4" s="52" t="s">
        <v>580</v>
      </c>
      <c r="CP4" s="52" t="s">
        <v>581</v>
      </c>
      <c r="CQ4" s="52" t="s">
        <v>582</v>
      </c>
      <c r="CR4" s="52" t="s">
        <v>583</v>
      </c>
      <c r="CS4" s="52" t="s">
        <v>579</v>
      </c>
      <c r="CT4" s="52" t="s">
        <v>580</v>
      </c>
      <c r="CU4" s="52" t="s">
        <v>581</v>
      </c>
      <c r="CV4" s="52" t="s">
        <v>582</v>
      </c>
      <c r="CW4" s="52" t="s">
        <v>583</v>
      </c>
      <c r="CX4" s="52" t="s">
        <v>579</v>
      </c>
      <c r="CY4" s="52" t="s">
        <v>580</v>
      </c>
      <c r="CZ4" s="52" t="s">
        <v>581</v>
      </c>
      <c r="DA4" s="52" t="s">
        <v>582</v>
      </c>
      <c r="DB4" s="52" t="s">
        <v>583</v>
      </c>
      <c r="DC4" s="52" t="s">
        <v>579</v>
      </c>
      <c r="DD4" s="52" t="s">
        <v>580</v>
      </c>
      <c r="DE4" s="52" t="s">
        <v>581</v>
      </c>
      <c r="DF4" s="52" t="s">
        <v>582</v>
      </c>
      <c r="DG4" s="52" t="s">
        <v>583</v>
      </c>
      <c r="DH4" s="52" t="s">
        <v>579</v>
      </c>
      <c r="DI4" s="52" t="s">
        <v>580</v>
      </c>
      <c r="DJ4" s="52" t="s">
        <v>581</v>
      </c>
      <c r="DK4" s="52" t="s">
        <v>582</v>
      </c>
      <c r="DL4" s="52" t="s">
        <v>583</v>
      </c>
      <c r="DM4" s="52" t="s">
        <v>579</v>
      </c>
      <c r="DN4" s="52" t="s">
        <v>580</v>
      </c>
      <c r="DO4" s="52" t="s">
        <v>581</v>
      </c>
      <c r="DP4" s="52" t="s">
        <v>582</v>
      </c>
      <c r="DQ4" s="52" t="s">
        <v>583</v>
      </c>
      <c r="DR4" s="52" t="s">
        <v>579</v>
      </c>
      <c r="DS4" s="52" t="s">
        <v>580</v>
      </c>
      <c r="DT4" s="52" t="s">
        <v>581</v>
      </c>
      <c r="DU4" s="52" t="s">
        <v>582</v>
      </c>
      <c r="DV4" s="52" t="s">
        <v>583</v>
      </c>
      <c r="DW4" s="52" t="s">
        <v>579</v>
      </c>
      <c r="DX4" s="52" t="s">
        <v>580</v>
      </c>
      <c r="DY4" s="52" t="s">
        <v>581</v>
      </c>
      <c r="DZ4" s="52" t="s">
        <v>582</v>
      </c>
      <c r="EA4" s="52" t="s">
        <v>583</v>
      </c>
      <c r="EB4" s="52" t="s">
        <v>579</v>
      </c>
      <c r="EC4" s="52" t="s">
        <v>580</v>
      </c>
      <c r="ED4" s="52" t="s">
        <v>581</v>
      </c>
      <c r="EE4" s="52" t="s">
        <v>582</v>
      </c>
      <c r="EF4" s="52" t="s">
        <v>583</v>
      </c>
      <c r="EG4" s="52" t="s">
        <v>579</v>
      </c>
      <c r="EH4" s="52" t="s">
        <v>580</v>
      </c>
      <c r="EI4" s="52" t="s">
        <v>581</v>
      </c>
      <c r="EJ4" s="52" t="s">
        <v>582</v>
      </c>
      <c r="EK4" s="52" t="s">
        <v>583</v>
      </c>
      <c r="EL4" s="52" t="s">
        <v>579</v>
      </c>
      <c r="EM4" s="52" t="s">
        <v>580</v>
      </c>
      <c r="EN4" s="52" t="s">
        <v>581</v>
      </c>
      <c r="EO4" s="52" t="s">
        <v>582</v>
      </c>
      <c r="EP4" s="52" t="s">
        <v>583</v>
      </c>
      <c r="EQ4" s="52" t="s">
        <v>579</v>
      </c>
      <c r="ER4" s="52" t="s">
        <v>580</v>
      </c>
      <c r="ES4" s="52" t="s">
        <v>581</v>
      </c>
      <c r="ET4" s="52" t="s">
        <v>582</v>
      </c>
      <c r="EU4" s="52" t="s">
        <v>583</v>
      </c>
      <c r="EV4" s="52" t="s">
        <v>579</v>
      </c>
      <c r="EW4" s="52" t="s">
        <v>580</v>
      </c>
      <c r="EX4" s="52" t="s">
        <v>581</v>
      </c>
      <c r="EY4" s="52" t="s">
        <v>582</v>
      </c>
      <c r="EZ4" s="52" t="s">
        <v>583</v>
      </c>
      <c r="FA4" s="47"/>
      <c r="FB4" s="47"/>
      <c r="FC4" s="47"/>
      <c r="FD4" s="47"/>
      <c r="FE4" s="47"/>
    </row>
    <row r="5" customFormat="false" ht="18" hidden="false" customHeight="true" outlineLevel="0" collapsed="false">
      <c r="A5" s="53" t="str">
        <f aca="false">Roster!B5</f>
        <v>Resident 1</v>
      </c>
      <c r="B5" s="54"/>
      <c r="C5" s="54"/>
      <c r="D5" s="54"/>
      <c r="E5" s="54"/>
      <c r="F5" s="54"/>
      <c r="G5" s="55"/>
      <c r="H5" s="55"/>
      <c r="I5" s="55"/>
      <c r="J5" s="55"/>
      <c r="K5" s="55"/>
      <c r="L5" s="54"/>
      <c r="M5" s="54"/>
      <c r="N5" s="54"/>
      <c r="O5" s="54"/>
      <c r="P5" s="54"/>
      <c r="Q5" s="55"/>
      <c r="R5" s="55"/>
      <c r="S5" s="55"/>
      <c r="T5" s="55"/>
      <c r="U5" s="55"/>
      <c r="V5" s="54"/>
      <c r="W5" s="54"/>
      <c r="X5" s="54"/>
      <c r="Y5" s="54"/>
      <c r="Z5" s="54"/>
      <c r="AA5" s="55"/>
      <c r="AB5" s="55"/>
      <c r="AC5" s="55"/>
      <c r="AD5" s="55"/>
      <c r="AE5" s="55"/>
      <c r="AF5" s="54"/>
      <c r="AG5" s="54"/>
      <c r="AH5" s="54"/>
      <c r="AI5" s="54"/>
      <c r="AJ5" s="54"/>
      <c r="AK5" s="55"/>
      <c r="AL5" s="55"/>
      <c r="AM5" s="55"/>
      <c r="AN5" s="55"/>
      <c r="AO5" s="55"/>
      <c r="AP5" s="54"/>
      <c r="AQ5" s="54"/>
      <c r="AR5" s="54"/>
      <c r="AS5" s="54"/>
      <c r="AT5" s="54"/>
      <c r="AU5" s="55"/>
      <c r="AV5" s="55"/>
      <c r="AW5" s="55"/>
      <c r="AX5" s="55"/>
      <c r="AY5" s="55"/>
      <c r="AZ5" s="54"/>
      <c r="BA5" s="54"/>
      <c r="BB5" s="54"/>
      <c r="BC5" s="54"/>
      <c r="BD5" s="54"/>
      <c r="BE5" s="55"/>
      <c r="BF5" s="55"/>
      <c r="BG5" s="55"/>
      <c r="BH5" s="55"/>
      <c r="BI5" s="55"/>
      <c r="BJ5" s="54"/>
      <c r="BK5" s="54"/>
      <c r="BL5" s="54"/>
      <c r="BM5" s="54"/>
      <c r="BN5" s="54"/>
      <c r="BO5" s="55"/>
      <c r="BP5" s="55"/>
      <c r="BQ5" s="55"/>
      <c r="BR5" s="55"/>
      <c r="BS5" s="55"/>
      <c r="BT5" s="54"/>
      <c r="BU5" s="54"/>
      <c r="BV5" s="54"/>
      <c r="BW5" s="54"/>
      <c r="BX5" s="54"/>
      <c r="BY5" s="55"/>
      <c r="BZ5" s="55"/>
      <c r="CA5" s="55"/>
      <c r="CB5" s="55"/>
      <c r="CC5" s="55"/>
      <c r="CD5" s="54"/>
      <c r="CE5" s="54"/>
      <c r="CF5" s="54"/>
      <c r="CG5" s="54"/>
      <c r="CH5" s="54"/>
      <c r="CI5" s="55"/>
      <c r="CJ5" s="55"/>
      <c r="CK5" s="55"/>
      <c r="CL5" s="55"/>
      <c r="CM5" s="55"/>
      <c r="CN5" s="54"/>
      <c r="CO5" s="54"/>
      <c r="CP5" s="54"/>
      <c r="CQ5" s="54"/>
      <c r="CR5" s="54"/>
      <c r="CS5" s="55"/>
      <c r="CT5" s="55"/>
      <c r="CU5" s="55"/>
      <c r="CV5" s="55"/>
      <c r="CW5" s="55"/>
      <c r="CX5" s="54"/>
      <c r="CY5" s="54"/>
      <c r="CZ5" s="54"/>
      <c r="DA5" s="54"/>
      <c r="DB5" s="54"/>
      <c r="DC5" s="55"/>
      <c r="DD5" s="55"/>
      <c r="DE5" s="55"/>
      <c r="DF5" s="55"/>
      <c r="DG5" s="55"/>
      <c r="DH5" s="54"/>
      <c r="DI5" s="54"/>
      <c r="DJ5" s="54"/>
      <c r="DK5" s="54"/>
      <c r="DL5" s="54"/>
      <c r="DM5" s="55"/>
      <c r="DN5" s="55"/>
      <c r="DO5" s="55"/>
      <c r="DP5" s="55"/>
      <c r="DQ5" s="55"/>
      <c r="DR5" s="54"/>
      <c r="DS5" s="54"/>
      <c r="DT5" s="54"/>
      <c r="DU5" s="54"/>
      <c r="DV5" s="54"/>
      <c r="DW5" s="55"/>
      <c r="DX5" s="55"/>
      <c r="DY5" s="55"/>
      <c r="DZ5" s="55"/>
      <c r="EA5" s="55"/>
      <c r="EB5" s="54"/>
      <c r="EC5" s="54"/>
      <c r="ED5" s="54"/>
      <c r="EE5" s="54"/>
      <c r="EF5" s="54"/>
      <c r="EG5" s="55"/>
      <c r="EH5" s="55"/>
      <c r="EI5" s="55"/>
      <c r="EJ5" s="55"/>
      <c r="EK5" s="55"/>
      <c r="EL5" s="54"/>
      <c r="EM5" s="54"/>
      <c r="EN5" s="54"/>
      <c r="EO5" s="54"/>
      <c r="EP5" s="54"/>
      <c r="EQ5" s="55"/>
      <c r="ER5" s="55"/>
      <c r="ES5" s="55"/>
      <c r="ET5" s="55"/>
      <c r="EU5" s="55"/>
      <c r="EV5" s="54"/>
      <c r="EW5" s="54"/>
      <c r="EX5" s="54"/>
      <c r="EY5" s="54"/>
      <c r="EZ5" s="54"/>
      <c r="FA5" s="56" t="n">
        <f aca="false">COUNTIF(B5:EZ5,"A")</f>
        <v>0</v>
      </c>
      <c r="FB5" s="57" t="n">
        <f aca="false">COUNTIF(B5:EZ5,"O")</f>
        <v>0</v>
      </c>
      <c r="FC5" s="58" t="n">
        <f aca="false">COUNTIF(B5:EZ5,"D")</f>
        <v>0</v>
      </c>
      <c r="FD5" s="59" t="n">
        <f aca="false">COUNTIF(B5:EZ5,"N/A")</f>
        <v>0</v>
      </c>
      <c r="FE5" s="60" t="n">
        <f aca="false">IFERROR((FA5+FB5)/(FA5+FB5+FC5),0)</f>
        <v>0</v>
      </c>
    </row>
    <row r="6" customFormat="false" ht="18" hidden="false" customHeight="true" outlineLevel="0" collapsed="false">
      <c r="A6" s="53" t="str">
        <f aca="false">Roster!B6</f>
        <v>Resident 2</v>
      </c>
      <c r="B6" s="54"/>
      <c r="C6" s="54"/>
      <c r="D6" s="54"/>
      <c r="E6" s="54"/>
      <c r="F6" s="54"/>
      <c r="G6" s="55"/>
      <c r="H6" s="55"/>
      <c r="I6" s="55"/>
      <c r="J6" s="55"/>
      <c r="K6" s="55"/>
      <c r="L6" s="54"/>
      <c r="M6" s="54"/>
      <c r="N6" s="54"/>
      <c r="O6" s="54"/>
      <c r="P6" s="54"/>
      <c r="Q6" s="55"/>
      <c r="R6" s="55"/>
      <c r="S6" s="55"/>
      <c r="T6" s="55"/>
      <c r="U6" s="55"/>
      <c r="V6" s="54"/>
      <c r="W6" s="54"/>
      <c r="X6" s="54"/>
      <c r="Y6" s="54"/>
      <c r="Z6" s="54"/>
      <c r="AA6" s="55"/>
      <c r="AB6" s="55"/>
      <c r="AC6" s="55"/>
      <c r="AD6" s="55"/>
      <c r="AE6" s="55"/>
      <c r="AF6" s="54"/>
      <c r="AG6" s="54"/>
      <c r="AH6" s="54"/>
      <c r="AI6" s="54"/>
      <c r="AJ6" s="54"/>
      <c r="AK6" s="55"/>
      <c r="AL6" s="55"/>
      <c r="AM6" s="55"/>
      <c r="AN6" s="55"/>
      <c r="AO6" s="55"/>
      <c r="AP6" s="54"/>
      <c r="AQ6" s="54"/>
      <c r="AR6" s="54"/>
      <c r="AS6" s="54"/>
      <c r="AT6" s="54"/>
      <c r="AU6" s="55"/>
      <c r="AV6" s="55"/>
      <c r="AW6" s="55"/>
      <c r="AX6" s="55"/>
      <c r="AY6" s="55"/>
      <c r="AZ6" s="54"/>
      <c r="BA6" s="54"/>
      <c r="BB6" s="54"/>
      <c r="BC6" s="54"/>
      <c r="BD6" s="54"/>
      <c r="BE6" s="55"/>
      <c r="BF6" s="55"/>
      <c r="BG6" s="55"/>
      <c r="BH6" s="55"/>
      <c r="BI6" s="55"/>
      <c r="BJ6" s="54"/>
      <c r="BK6" s="54"/>
      <c r="BL6" s="54"/>
      <c r="BM6" s="54"/>
      <c r="BN6" s="54"/>
      <c r="BO6" s="55"/>
      <c r="BP6" s="55"/>
      <c r="BQ6" s="55"/>
      <c r="BR6" s="55"/>
      <c r="BS6" s="55"/>
      <c r="BT6" s="54"/>
      <c r="BU6" s="54"/>
      <c r="BV6" s="54"/>
      <c r="BW6" s="54"/>
      <c r="BX6" s="54"/>
      <c r="BY6" s="55"/>
      <c r="BZ6" s="55"/>
      <c r="CA6" s="55"/>
      <c r="CB6" s="55"/>
      <c r="CC6" s="55"/>
      <c r="CD6" s="54"/>
      <c r="CE6" s="54"/>
      <c r="CF6" s="54"/>
      <c r="CG6" s="54"/>
      <c r="CH6" s="54"/>
      <c r="CI6" s="55"/>
      <c r="CJ6" s="55"/>
      <c r="CK6" s="55"/>
      <c r="CL6" s="55"/>
      <c r="CM6" s="55"/>
      <c r="CN6" s="54"/>
      <c r="CO6" s="54"/>
      <c r="CP6" s="54"/>
      <c r="CQ6" s="54"/>
      <c r="CR6" s="54"/>
      <c r="CS6" s="55"/>
      <c r="CT6" s="55"/>
      <c r="CU6" s="55"/>
      <c r="CV6" s="55"/>
      <c r="CW6" s="55"/>
      <c r="CX6" s="54"/>
      <c r="CY6" s="54"/>
      <c r="CZ6" s="54"/>
      <c r="DA6" s="54"/>
      <c r="DB6" s="54"/>
      <c r="DC6" s="55"/>
      <c r="DD6" s="55"/>
      <c r="DE6" s="55"/>
      <c r="DF6" s="55"/>
      <c r="DG6" s="55"/>
      <c r="DH6" s="54"/>
      <c r="DI6" s="54"/>
      <c r="DJ6" s="54"/>
      <c r="DK6" s="54"/>
      <c r="DL6" s="54"/>
      <c r="DM6" s="55"/>
      <c r="DN6" s="55"/>
      <c r="DO6" s="55"/>
      <c r="DP6" s="55"/>
      <c r="DQ6" s="55"/>
      <c r="DR6" s="54"/>
      <c r="DS6" s="54"/>
      <c r="DT6" s="54"/>
      <c r="DU6" s="54"/>
      <c r="DV6" s="54"/>
      <c r="DW6" s="55"/>
      <c r="DX6" s="55"/>
      <c r="DY6" s="55"/>
      <c r="DZ6" s="55"/>
      <c r="EA6" s="55"/>
      <c r="EB6" s="54"/>
      <c r="EC6" s="54"/>
      <c r="ED6" s="54"/>
      <c r="EE6" s="54"/>
      <c r="EF6" s="54"/>
      <c r="EG6" s="55"/>
      <c r="EH6" s="55"/>
      <c r="EI6" s="55"/>
      <c r="EJ6" s="55"/>
      <c r="EK6" s="55"/>
      <c r="EL6" s="54"/>
      <c r="EM6" s="54"/>
      <c r="EN6" s="54"/>
      <c r="EO6" s="54"/>
      <c r="EP6" s="54"/>
      <c r="EQ6" s="55"/>
      <c r="ER6" s="55"/>
      <c r="ES6" s="55"/>
      <c r="ET6" s="55"/>
      <c r="EU6" s="55"/>
      <c r="EV6" s="54"/>
      <c r="EW6" s="54"/>
      <c r="EX6" s="54"/>
      <c r="EY6" s="54"/>
      <c r="EZ6" s="54"/>
      <c r="FA6" s="56" t="n">
        <f aca="false">COUNTIF(B6:EZ6,"A")</f>
        <v>0</v>
      </c>
      <c r="FB6" s="57" t="n">
        <f aca="false">COUNTIF(B6:EZ6,"O")</f>
        <v>0</v>
      </c>
      <c r="FC6" s="58" t="n">
        <f aca="false">COUNTIF(B6:EZ6,"D")</f>
        <v>0</v>
      </c>
      <c r="FD6" s="59" t="n">
        <f aca="false">COUNTIF(B6:EZ6,"N/A")</f>
        <v>0</v>
      </c>
      <c r="FE6" s="60" t="n">
        <f aca="false">IFERROR((FA6+FB6)/(FA6+FB6+FC6),0)</f>
        <v>0</v>
      </c>
    </row>
    <row r="7" customFormat="false" ht="18" hidden="false" customHeight="true" outlineLevel="0" collapsed="false">
      <c r="A7" s="53" t="str">
        <f aca="false">Roster!B7</f>
        <v>Resident 3</v>
      </c>
      <c r="B7" s="54"/>
      <c r="C7" s="54"/>
      <c r="D7" s="54"/>
      <c r="E7" s="54"/>
      <c r="F7" s="54"/>
      <c r="G7" s="55"/>
      <c r="H7" s="55"/>
      <c r="I7" s="55"/>
      <c r="J7" s="55"/>
      <c r="K7" s="55"/>
      <c r="L7" s="54"/>
      <c r="M7" s="54"/>
      <c r="N7" s="54"/>
      <c r="O7" s="54"/>
      <c r="P7" s="54"/>
      <c r="Q7" s="55"/>
      <c r="R7" s="55"/>
      <c r="S7" s="55"/>
      <c r="T7" s="55"/>
      <c r="U7" s="55"/>
      <c r="V7" s="54"/>
      <c r="W7" s="54"/>
      <c r="X7" s="54"/>
      <c r="Y7" s="54"/>
      <c r="Z7" s="54"/>
      <c r="AA7" s="55"/>
      <c r="AB7" s="55"/>
      <c r="AC7" s="55"/>
      <c r="AD7" s="55"/>
      <c r="AE7" s="55"/>
      <c r="AF7" s="54"/>
      <c r="AG7" s="54"/>
      <c r="AH7" s="54"/>
      <c r="AI7" s="54"/>
      <c r="AJ7" s="54"/>
      <c r="AK7" s="55"/>
      <c r="AL7" s="55"/>
      <c r="AM7" s="55"/>
      <c r="AN7" s="55"/>
      <c r="AO7" s="55"/>
      <c r="AP7" s="54"/>
      <c r="AQ7" s="54"/>
      <c r="AR7" s="54"/>
      <c r="AS7" s="54"/>
      <c r="AT7" s="54"/>
      <c r="AU7" s="55"/>
      <c r="AV7" s="55"/>
      <c r="AW7" s="55"/>
      <c r="AX7" s="55"/>
      <c r="AY7" s="55"/>
      <c r="AZ7" s="54"/>
      <c r="BA7" s="54"/>
      <c r="BB7" s="54"/>
      <c r="BC7" s="54"/>
      <c r="BD7" s="54"/>
      <c r="BE7" s="55"/>
      <c r="BF7" s="55"/>
      <c r="BG7" s="55"/>
      <c r="BH7" s="55"/>
      <c r="BI7" s="55"/>
      <c r="BJ7" s="54"/>
      <c r="BK7" s="54"/>
      <c r="BL7" s="54"/>
      <c r="BM7" s="54"/>
      <c r="BN7" s="54"/>
      <c r="BO7" s="55"/>
      <c r="BP7" s="55"/>
      <c r="BQ7" s="55"/>
      <c r="BR7" s="55"/>
      <c r="BS7" s="55"/>
      <c r="BT7" s="54"/>
      <c r="BU7" s="54"/>
      <c r="BV7" s="54"/>
      <c r="BW7" s="54"/>
      <c r="BX7" s="54"/>
      <c r="BY7" s="55"/>
      <c r="BZ7" s="55"/>
      <c r="CA7" s="55"/>
      <c r="CB7" s="55"/>
      <c r="CC7" s="55"/>
      <c r="CD7" s="54"/>
      <c r="CE7" s="54"/>
      <c r="CF7" s="54"/>
      <c r="CG7" s="54"/>
      <c r="CH7" s="54"/>
      <c r="CI7" s="55"/>
      <c r="CJ7" s="55"/>
      <c r="CK7" s="55"/>
      <c r="CL7" s="55"/>
      <c r="CM7" s="55"/>
      <c r="CN7" s="54"/>
      <c r="CO7" s="54"/>
      <c r="CP7" s="54"/>
      <c r="CQ7" s="54"/>
      <c r="CR7" s="54"/>
      <c r="CS7" s="55"/>
      <c r="CT7" s="55"/>
      <c r="CU7" s="55"/>
      <c r="CV7" s="55"/>
      <c r="CW7" s="55"/>
      <c r="CX7" s="54"/>
      <c r="CY7" s="54"/>
      <c r="CZ7" s="54"/>
      <c r="DA7" s="54"/>
      <c r="DB7" s="54"/>
      <c r="DC7" s="55"/>
      <c r="DD7" s="55"/>
      <c r="DE7" s="55"/>
      <c r="DF7" s="55"/>
      <c r="DG7" s="55"/>
      <c r="DH7" s="54"/>
      <c r="DI7" s="54"/>
      <c r="DJ7" s="54"/>
      <c r="DK7" s="54"/>
      <c r="DL7" s="54"/>
      <c r="DM7" s="55"/>
      <c r="DN7" s="55"/>
      <c r="DO7" s="55"/>
      <c r="DP7" s="55"/>
      <c r="DQ7" s="55"/>
      <c r="DR7" s="54"/>
      <c r="DS7" s="54"/>
      <c r="DT7" s="54"/>
      <c r="DU7" s="54"/>
      <c r="DV7" s="54"/>
      <c r="DW7" s="55"/>
      <c r="DX7" s="55"/>
      <c r="DY7" s="55"/>
      <c r="DZ7" s="55"/>
      <c r="EA7" s="55"/>
      <c r="EB7" s="54"/>
      <c r="EC7" s="54"/>
      <c r="ED7" s="54"/>
      <c r="EE7" s="54"/>
      <c r="EF7" s="54"/>
      <c r="EG7" s="55"/>
      <c r="EH7" s="55"/>
      <c r="EI7" s="55"/>
      <c r="EJ7" s="55"/>
      <c r="EK7" s="55"/>
      <c r="EL7" s="54"/>
      <c r="EM7" s="54"/>
      <c r="EN7" s="54"/>
      <c r="EO7" s="54"/>
      <c r="EP7" s="54"/>
      <c r="EQ7" s="55"/>
      <c r="ER7" s="55"/>
      <c r="ES7" s="55"/>
      <c r="ET7" s="55"/>
      <c r="EU7" s="55"/>
      <c r="EV7" s="54"/>
      <c r="EW7" s="54"/>
      <c r="EX7" s="54"/>
      <c r="EY7" s="54"/>
      <c r="EZ7" s="54"/>
      <c r="FA7" s="56" t="n">
        <f aca="false">COUNTIF(B7:EZ7,"A")</f>
        <v>0</v>
      </c>
      <c r="FB7" s="57" t="n">
        <f aca="false">COUNTIF(B7:EZ7,"O")</f>
        <v>0</v>
      </c>
      <c r="FC7" s="58" t="n">
        <f aca="false">COUNTIF(B7:EZ7,"D")</f>
        <v>0</v>
      </c>
      <c r="FD7" s="59" t="n">
        <f aca="false">COUNTIF(B7:EZ7,"N/A")</f>
        <v>0</v>
      </c>
      <c r="FE7" s="60" t="n">
        <f aca="false">IFERROR((FA7+FB7)/(FA7+FB7+FC7),0)</f>
        <v>0</v>
      </c>
    </row>
    <row r="8" customFormat="false" ht="18" hidden="false" customHeight="true" outlineLevel="0" collapsed="false">
      <c r="A8" s="53" t="str">
        <f aca="false">Roster!B8</f>
        <v>Resident 4</v>
      </c>
      <c r="B8" s="54"/>
      <c r="C8" s="54"/>
      <c r="D8" s="54"/>
      <c r="E8" s="54"/>
      <c r="F8" s="54"/>
      <c r="G8" s="55"/>
      <c r="H8" s="55"/>
      <c r="I8" s="55"/>
      <c r="J8" s="55"/>
      <c r="K8" s="55"/>
      <c r="L8" s="54"/>
      <c r="M8" s="54"/>
      <c r="N8" s="54"/>
      <c r="O8" s="54"/>
      <c r="P8" s="54"/>
      <c r="Q8" s="55"/>
      <c r="R8" s="55"/>
      <c r="S8" s="55"/>
      <c r="T8" s="55"/>
      <c r="U8" s="55"/>
      <c r="V8" s="54"/>
      <c r="W8" s="54"/>
      <c r="X8" s="54"/>
      <c r="Y8" s="54"/>
      <c r="Z8" s="54"/>
      <c r="AA8" s="55"/>
      <c r="AB8" s="55"/>
      <c r="AC8" s="55"/>
      <c r="AD8" s="55"/>
      <c r="AE8" s="55"/>
      <c r="AF8" s="54"/>
      <c r="AG8" s="54"/>
      <c r="AH8" s="54"/>
      <c r="AI8" s="54"/>
      <c r="AJ8" s="54"/>
      <c r="AK8" s="55"/>
      <c r="AL8" s="55"/>
      <c r="AM8" s="55"/>
      <c r="AN8" s="55"/>
      <c r="AO8" s="55"/>
      <c r="AP8" s="54"/>
      <c r="AQ8" s="54"/>
      <c r="AR8" s="54"/>
      <c r="AS8" s="54"/>
      <c r="AT8" s="54"/>
      <c r="AU8" s="55"/>
      <c r="AV8" s="55"/>
      <c r="AW8" s="55"/>
      <c r="AX8" s="55"/>
      <c r="AY8" s="55"/>
      <c r="AZ8" s="54"/>
      <c r="BA8" s="54"/>
      <c r="BB8" s="54"/>
      <c r="BC8" s="54"/>
      <c r="BD8" s="54"/>
      <c r="BE8" s="55"/>
      <c r="BF8" s="55"/>
      <c r="BG8" s="55"/>
      <c r="BH8" s="55"/>
      <c r="BI8" s="55"/>
      <c r="BJ8" s="54"/>
      <c r="BK8" s="54"/>
      <c r="BL8" s="54"/>
      <c r="BM8" s="54"/>
      <c r="BN8" s="54"/>
      <c r="BO8" s="55"/>
      <c r="BP8" s="55"/>
      <c r="BQ8" s="55"/>
      <c r="BR8" s="55"/>
      <c r="BS8" s="55"/>
      <c r="BT8" s="54"/>
      <c r="BU8" s="54"/>
      <c r="BV8" s="54"/>
      <c r="BW8" s="54"/>
      <c r="BX8" s="54"/>
      <c r="BY8" s="55"/>
      <c r="BZ8" s="55"/>
      <c r="CA8" s="55"/>
      <c r="CB8" s="55"/>
      <c r="CC8" s="55"/>
      <c r="CD8" s="54"/>
      <c r="CE8" s="54"/>
      <c r="CF8" s="54"/>
      <c r="CG8" s="54"/>
      <c r="CH8" s="54"/>
      <c r="CI8" s="55"/>
      <c r="CJ8" s="55"/>
      <c r="CK8" s="55"/>
      <c r="CL8" s="55"/>
      <c r="CM8" s="55"/>
      <c r="CN8" s="54"/>
      <c r="CO8" s="54"/>
      <c r="CP8" s="54"/>
      <c r="CQ8" s="54"/>
      <c r="CR8" s="54"/>
      <c r="CS8" s="55"/>
      <c r="CT8" s="55"/>
      <c r="CU8" s="55"/>
      <c r="CV8" s="55"/>
      <c r="CW8" s="55"/>
      <c r="CX8" s="54"/>
      <c r="CY8" s="54"/>
      <c r="CZ8" s="54"/>
      <c r="DA8" s="54"/>
      <c r="DB8" s="54"/>
      <c r="DC8" s="55"/>
      <c r="DD8" s="55"/>
      <c r="DE8" s="55"/>
      <c r="DF8" s="55"/>
      <c r="DG8" s="55"/>
      <c r="DH8" s="54"/>
      <c r="DI8" s="54"/>
      <c r="DJ8" s="54"/>
      <c r="DK8" s="54"/>
      <c r="DL8" s="54"/>
      <c r="DM8" s="55"/>
      <c r="DN8" s="55"/>
      <c r="DO8" s="55"/>
      <c r="DP8" s="55"/>
      <c r="DQ8" s="55"/>
      <c r="DR8" s="54"/>
      <c r="DS8" s="54"/>
      <c r="DT8" s="54"/>
      <c r="DU8" s="54"/>
      <c r="DV8" s="54"/>
      <c r="DW8" s="55"/>
      <c r="DX8" s="55"/>
      <c r="DY8" s="55"/>
      <c r="DZ8" s="55"/>
      <c r="EA8" s="55"/>
      <c r="EB8" s="54"/>
      <c r="EC8" s="54"/>
      <c r="ED8" s="54"/>
      <c r="EE8" s="54"/>
      <c r="EF8" s="54"/>
      <c r="EG8" s="55"/>
      <c r="EH8" s="55"/>
      <c r="EI8" s="55"/>
      <c r="EJ8" s="55"/>
      <c r="EK8" s="55"/>
      <c r="EL8" s="54"/>
      <c r="EM8" s="54"/>
      <c r="EN8" s="54"/>
      <c r="EO8" s="54"/>
      <c r="EP8" s="54"/>
      <c r="EQ8" s="55"/>
      <c r="ER8" s="55"/>
      <c r="ES8" s="55"/>
      <c r="ET8" s="55"/>
      <c r="EU8" s="55"/>
      <c r="EV8" s="54"/>
      <c r="EW8" s="54"/>
      <c r="EX8" s="54"/>
      <c r="EY8" s="54"/>
      <c r="EZ8" s="54"/>
      <c r="FA8" s="56" t="n">
        <f aca="false">COUNTIF(B8:EZ8,"A")</f>
        <v>0</v>
      </c>
      <c r="FB8" s="57" t="n">
        <f aca="false">COUNTIF(B8:EZ8,"O")</f>
        <v>0</v>
      </c>
      <c r="FC8" s="58" t="n">
        <f aca="false">COUNTIF(B8:EZ8,"D")</f>
        <v>0</v>
      </c>
      <c r="FD8" s="59" t="n">
        <f aca="false">COUNTIF(B8:EZ8,"N/A")</f>
        <v>0</v>
      </c>
      <c r="FE8" s="60" t="n">
        <f aca="false">IFERROR((FA8+FB8)/(FA8+FB8+FC8),0)</f>
        <v>0</v>
      </c>
    </row>
    <row r="9" customFormat="false" ht="18" hidden="false" customHeight="true" outlineLevel="0" collapsed="false">
      <c r="A9" s="53" t="str">
        <f aca="false">Roster!B9</f>
        <v>Resident 5</v>
      </c>
      <c r="B9" s="54"/>
      <c r="C9" s="54"/>
      <c r="D9" s="54"/>
      <c r="E9" s="54"/>
      <c r="F9" s="54"/>
      <c r="G9" s="55"/>
      <c r="H9" s="55"/>
      <c r="I9" s="55"/>
      <c r="J9" s="55"/>
      <c r="K9" s="55"/>
      <c r="L9" s="54"/>
      <c r="M9" s="54"/>
      <c r="N9" s="54"/>
      <c r="O9" s="54"/>
      <c r="P9" s="54"/>
      <c r="Q9" s="55"/>
      <c r="R9" s="55"/>
      <c r="S9" s="55"/>
      <c r="T9" s="55"/>
      <c r="U9" s="55"/>
      <c r="V9" s="54"/>
      <c r="W9" s="54"/>
      <c r="X9" s="54"/>
      <c r="Y9" s="54"/>
      <c r="Z9" s="54"/>
      <c r="AA9" s="55"/>
      <c r="AB9" s="55"/>
      <c r="AC9" s="55"/>
      <c r="AD9" s="55"/>
      <c r="AE9" s="55"/>
      <c r="AF9" s="54"/>
      <c r="AG9" s="54"/>
      <c r="AH9" s="54"/>
      <c r="AI9" s="54"/>
      <c r="AJ9" s="54"/>
      <c r="AK9" s="55"/>
      <c r="AL9" s="55"/>
      <c r="AM9" s="55"/>
      <c r="AN9" s="55"/>
      <c r="AO9" s="55"/>
      <c r="AP9" s="54"/>
      <c r="AQ9" s="54"/>
      <c r="AR9" s="54"/>
      <c r="AS9" s="54"/>
      <c r="AT9" s="54"/>
      <c r="AU9" s="55"/>
      <c r="AV9" s="55"/>
      <c r="AW9" s="55"/>
      <c r="AX9" s="55"/>
      <c r="AY9" s="55"/>
      <c r="AZ9" s="54"/>
      <c r="BA9" s="54"/>
      <c r="BB9" s="54"/>
      <c r="BC9" s="54"/>
      <c r="BD9" s="54"/>
      <c r="BE9" s="55"/>
      <c r="BF9" s="55"/>
      <c r="BG9" s="55"/>
      <c r="BH9" s="55"/>
      <c r="BI9" s="55"/>
      <c r="BJ9" s="54"/>
      <c r="BK9" s="54"/>
      <c r="BL9" s="54"/>
      <c r="BM9" s="54"/>
      <c r="BN9" s="54"/>
      <c r="BO9" s="55"/>
      <c r="BP9" s="55"/>
      <c r="BQ9" s="55"/>
      <c r="BR9" s="55"/>
      <c r="BS9" s="55"/>
      <c r="BT9" s="54"/>
      <c r="BU9" s="54"/>
      <c r="BV9" s="54"/>
      <c r="BW9" s="54"/>
      <c r="BX9" s="54"/>
      <c r="BY9" s="55"/>
      <c r="BZ9" s="55"/>
      <c r="CA9" s="55"/>
      <c r="CB9" s="55"/>
      <c r="CC9" s="55"/>
      <c r="CD9" s="54"/>
      <c r="CE9" s="54"/>
      <c r="CF9" s="54"/>
      <c r="CG9" s="54"/>
      <c r="CH9" s="54"/>
      <c r="CI9" s="55"/>
      <c r="CJ9" s="55"/>
      <c r="CK9" s="55"/>
      <c r="CL9" s="55"/>
      <c r="CM9" s="55"/>
      <c r="CN9" s="54"/>
      <c r="CO9" s="54"/>
      <c r="CP9" s="54"/>
      <c r="CQ9" s="54"/>
      <c r="CR9" s="54"/>
      <c r="CS9" s="55"/>
      <c r="CT9" s="55"/>
      <c r="CU9" s="55"/>
      <c r="CV9" s="55"/>
      <c r="CW9" s="55"/>
      <c r="CX9" s="54"/>
      <c r="CY9" s="54"/>
      <c r="CZ9" s="54"/>
      <c r="DA9" s="54"/>
      <c r="DB9" s="54"/>
      <c r="DC9" s="55"/>
      <c r="DD9" s="55"/>
      <c r="DE9" s="55"/>
      <c r="DF9" s="55"/>
      <c r="DG9" s="55"/>
      <c r="DH9" s="54"/>
      <c r="DI9" s="54"/>
      <c r="DJ9" s="54"/>
      <c r="DK9" s="54"/>
      <c r="DL9" s="54"/>
      <c r="DM9" s="55"/>
      <c r="DN9" s="55"/>
      <c r="DO9" s="55"/>
      <c r="DP9" s="55"/>
      <c r="DQ9" s="55"/>
      <c r="DR9" s="54"/>
      <c r="DS9" s="54"/>
      <c r="DT9" s="54"/>
      <c r="DU9" s="54"/>
      <c r="DV9" s="54"/>
      <c r="DW9" s="55"/>
      <c r="DX9" s="55"/>
      <c r="DY9" s="55"/>
      <c r="DZ9" s="55"/>
      <c r="EA9" s="55"/>
      <c r="EB9" s="54"/>
      <c r="EC9" s="54"/>
      <c r="ED9" s="54"/>
      <c r="EE9" s="54"/>
      <c r="EF9" s="54"/>
      <c r="EG9" s="55"/>
      <c r="EH9" s="55"/>
      <c r="EI9" s="55"/>
      <c r="EJ9" s="55"/>
      <c r="EK9" s="55"/>
      <c r="EL9" s="54"/>
      <c r="EM9" s="54"/>
      <c r="EN9" s="54"/>
      <c r="EO9" s="54"/>
      <c r="EP9" s="54"/>
      <c r="EQ9" s="55"/>
      <c r="ER9" s="55"/>
      <c r="ES9" s="55"/>
      <c r="ET9" s="55"/>
      <c r="EU9" s="55"/>
      <c r="EV9" s="54"/>
      <c r="EW9" s="54"/>
      <c r="EX9" s="54"/>
      <c r="EY9" s="54"/>
      <c r="EZ9" s="54"/>
      <c r="FA9" s="56" t="n">
        <f aca="false">COUNTIF(B9:EZ9,"A")</f>
        <v>0</v>
      </c>
      <c r="FB9" s="57" t="n">
        <f aca="false">COUNTIF(B9:EZ9,"O")</f>
        <v>0</v>
      </c>
      <c r="FC9" s="58" t="n">
        <f aca="false">COUNTIF(B9:EZ9,"D")</f>
        <v>0</v>
      </c>
      <c r="FD9" s="59" t="n">
        <f aca="false">COUNTIF(B9:EZ9,"N/A")</f>
        <v>0</v>
      </c>
      <c r="FE9" s="60" t="n">
        <f aca="false">IFERROR((FA9+FB9)/(FA9+FB9+FC9),0)</f>
        <v>0</v>
      </c>
    </row>
    <row r="10" customFormat="false" ht="18" hidden="false" customHeight="true" outlineLevel="0" collapsed="false">
      <c r="A10" s="53" t="str">
        <f aca="false">Roster!B10</f>
        <v>Resident 6</v>
      </c>
      <c r="B10" s="54"/>
      <c r="C10" s="54"/>
      <c r="D10" s="54"/>
      <c r="E10" s="54"/>
      <c r="F10" s="54"/>
      <c r="G10" s="55"/>
      <c r="H10" s="55"/>
      <c r="I10" s="55"/>
      <c r="J10" s="55"/>
      <c r="K10" s="55"/>
      <c r="L10" s="54"/>
      <c r="M10" s="54"/>
      <c r="N10" s="54"/>
      <c r="O10" s="54"/>
      <c r="P10" s="54"/>
      <c r="Q10" s="55"/>
      <c r="R10" s="55"/>
      <c r="S10" s="55"/>
      <c r="T10" s="55"/>
      <c r="U10" s="55"/>
      <c r="V10" s="54"/>
      <c r="W10" s="54"/>
      <c r="X10" s="54"/>
      <c r="Y10" s="54"/>
      <c r="Z10" s="54"/>
      <c r="AA10" s="55"/>
      <c r="AB10" s="55"/>
      <c r="AC10" s="55"/>
      <c r="AD10" s="55"/>
      <c r="AE10" s="55"/>
      <c r="AF10" s="54"/>
      <c r="AG10" s="54"/>
      <c r="AH10" s="54"/>
      <c r="AI10" s="54"/>
      <c r="AJ10" s="54"/>
      <c r="AK10" s="55"/>
      <c r="AL10" s="55"/>
      <c r="AM10" s="55"/>
      <c r="AN10" s="55"/>
      <c r="AO10" s="55"/>
      <c r="AP10" s="54"/>
      <c r="AQ10" s="54"/>
      <c r="AR10" s="54"/>
      <c r="AS10" s="54"/>
      <c r="AT10" s="54"/>
      <c r="AU10" s="55"/>
      <c r="AV10" s="55"/>
      <c r="AW10" s="55"/>
      <c r="AX10" s="55"/>
      <c r="AY10" s="55"/>
      <c r="AZ10" s="54"/>
      <c r="BA10" s="54"/>
      <c r="BB10" s="54"/>
      <c r="BC10" s="54"/>
      <c r="BD10" s="54"/>
      <c r="BE10" s="55"/>
      <c r="BF10" s="55"/>
      <c r="BG10" s="55"/>
      <c r="BH10" s="55"/>
      <c r="BI10" s="55"/>
      <c r="BJ10" s="54"/>
      <c r="BK10" s="54"/>
      <c r="BL10" s="54"/>
      <c r="BM10" s="54"/>
      <c r="BN10" s="54"/>
      <c r="BO10" s="55"/>
      <c r="BP10" s="55"/>
      <c r="BQ10" s="55"/>
      <c r="BR10" s="55"/>
      <c r="BS10" s="55"/>
      <c r="BT10" s="54"/>
      <c r="BU10" s="54"/>
      <c r="BV10" s="54"/>
      <c r="BW10" s="54"/>
      <c r="BX10" s="54"/>
      <c r="BY10" s="55"/>
      <c r="BZ10" s="55"/>
      <c r="CA10" s="55"/>
      <c r="CB10" s="55"/>
      <c r="CC10" s="55"/>
      <c r="CD10" s="54"/>
      <c r="CE10" s="54"/>
      <c r="CF10" s="54"/>
      <c r="CG10" s="54"/>
      <c r="CH10" s="54"/>
      <c r="CI10" s="55"/>
      <c r="CJ10" s="55"/>
      <c r="CK10" s="55"/>
      <c r="CL10" s="55"/>
      <c r="CM10" s="55"/>
      <c r="CN10" s="54"/>
      <c r="CO10" s="54"/>
      <c r="CP10" s="54"/>
      <c r="CQ10" s="54"/>
      <c r="CR10" s="54"/>
      <c r="CS10" s="55"/>
      <c r="CT10" s="55"/>
      <c r="CU10" s="55"/>
      <c r="CV10" s="55"/>
      <c r="CW10" s="55"/>
      <c r="CX10" s="54"/>
      <c r="CY10" s="54"/>
      <c r="CZ10" s="54"/>
      <c r="DA10" s="54"/>
      <c r="DB10" s="54"/>
      <c r="DC10" s="55"/>
      <c r="DD10" s="55"/>
      <c r="DE10" s="55"/>
      <c r="DF10" s="55"/>
      <c r="DG10" s="55"/>
      <c r="DH10" s="54"/>
      <c r="DI10" s="54"/>
      <c r="DJ10" s="54"/>
      <c r="DK10" s="54"/>
      <c r="DL10" s="54"/>
      <c r="DM10" s="55"/>
      <c r="DN10" s="55"/>
      <c r="DO10" s="55"/>
      <c r="DP10" s="55"/>
      <c r="DQ10" s="55"/>
      <c r="DR10" s="54"/>
      <c r="DS10" s="54"/>
      <c r="DT10" s="54"/>
      <c r="DU10" s="54"/>
      <c r="DV10" s="54"/>
      <c r="DW10" s="55"/>
      <c r="DX10" s="55"/>
      <c r="DY10" s="55"/>
      <c r="DZ10" s="55"/>
      <c r="EA10" s="55"/>
      <c r="EB10" s="54"/>
      <c r="EC10" s="54"/>
      <c r="ED10" s="54"/>
      <c r="EE10" s="54"/>
      <c r="EF10" s="54"/>
      <c r="EG10" s="55"/>
      <c r="EH10" s="55"/>
      <c r="EI10" s="55"/>
      <c r="EJ10" s="55"/>
      <c r="EK10" s="55"/>
      <c r="EL10" s="54"/>
      <c r="EM10" s="54"/>
      <c r="EN10" s="54"/>
      <c r="EO10" s="54"/>
      <c r="EP10" s="54"/>
      <c r="EQ10" s="55"/>
      <c r="ER10" s="55"/>
      <c r="ES10" s="55"/>
      <c r="ET10" s="55"/>
      <c r="EU10" s="55"/>
      <c r="EV10" s="54"/>
      <c r="EW10" s="54"/>
      <c r="EX10" s="54"/>
      <c r="EY10" s="54"/>
      <c r="EZ10" s="54"/>
      <c r="FA10" s="56" t="n">
        <f aca="false">COUNTIF(B10:EZ10,"A")</f>
        <v>0</v>
      </c>
      <c r="FB10" s="57" t="n">
        <f aca="false">COUNTIF(B10:EZ10,"O")</f>
        <v>0</v>
      </c>
      <c r="FC10" s="58" t="n">
        <f aca="false">COUNTIF(B10:EZ10,"D")</f>
        <v>0</v>
      </c>
      <c r="FD10" s="59" t="n">
        <f aca="false">COUNTIF(B10:EZ10,"N/A")</f>
        <v>0</v>
      </c>
      <c r="FE10" s="60" t="n">
        <f aca="false">IFERROR((FA10+FB10)/(FA10+FB10+FC10),0)</f>
        <v>0</v>
      </c>
    </row>
    <row r="11" customFormat="false" ht="18" hidden="false" customHeight="true" outlineLevel="0" collapsed="false">
      <c r="A11" s="53" t="str">
        <f aca="false">Roster!B11</f>
        <v>Resident 7</v>
      </c>
      <c r="B11" s="54"/>
      <c r="C11" s="54"/>
      <c r="D11" s="54"/>
      <c r="E11" s="54"/>
      <c r="F11" s="54"/>
      <c r="G11" s="55"/>
      <c r="H11" s="55"/>
      <c r="I11" s="55"/>
      <c r="J11" s="55"/>
      <c r="K11" s="55"/>
      <c r="L11" s="54"/>
      <c r="M11" s="54"/>
      <c r="N11" s="54"/>
      <c r="O11" s="54"/>
      <c r="P11" s="54"/>
      <c r="Q11" s="55"/>
      <c r="R11" s="55"/>
      <c r="S11" s="55"/>
      <c r="T11" s="55"/>
      <c r="U11" s="55"/>
      <c r="V11" s="54"/>
      <c r="W11" s="54"/>
      <c r="X11" s="54"/>
      <c r="Y11" s="54"/>
      <c r="Z11" s="54"/>
      <c r="AA11" s="55"/>
      <c r="AB11" s="55"/>
      <c r="AC11" s="55"/>
      <c r="AD11" s="55"/>
      <c r="AE11" s="55"/>
      <c r="AF11" s="54"/>
      <c r="AG11" s="54"/>
      <c r="AH11" s="54"/>
      <c r="AI11" s="54"/>
      <c r="AJ11" s="54"/>
      <c r="AK11" s="55"/>
      <c r="AL11" s="55"/>
      <c r="AM11" s="55"/>
      <c r="AN11" s="55"/>
      <c r="AO11" s="55"/>
      <c r="AP11" s="54"/>
      <c r="AQ11" s="54"/>
      <c r="AR11" s="54"/>
      <c r="AS11" s="54"/>
      <c r="AT11" s="54"/>
      <c r="AU11" s="55"/>
      <c r="AV11" s="55"/>
      <c r="AW11" s="55"/>
      <c r="AX11" s="55"/>
      <c r="AY11" s="55"/>
      <c r="AZ11" s="54"/>
      <c r="BA11" s="54"/>
      <c r="BB11" s="54"/>
      <c r="BC11" s="54"/>
      <c r="BD11" s="54"/>
      <c r="BE11" s="55"/>
      <c r="BF11" s="55"/>
      <c r="BG11" s="55"/>
      <c r="BH11" s="55"/>
      <c r="BI11" s="55"/>
      <c r="BJ11" s="54"/>
      <c r="BK11" s="54"/>
      <c r="BL11" s="54"/>
      <c r="BM11" s="54"/>
      <c r="BN11" s="54"/>
      <c r="BO11" s="55"/>
      <c r="BP11" s="55"/>
      <c r="BQ11" s="55"/>
      <c r="BR11" s="55"/>
      <c r="BS11" s="55"/>
      <c r="BT11" s="54"/>
      <c r="BU11" s="54"/>
      <c r="BV11" s="54"/>
      <c r="BW11" s="54"/>
      <c r="BX11" s="54"/>
      <c r="BY11" s="55"/>
      <c r="BZ11" s="55"/>
      <c r="CA11" s="55"/>
      <c r="CB11" s="55"/>
      <c r="CC11" s="55"/>
      <c r="CD11" s="54"/>
      <c r="CE11" s="54"/>
      <c r="CF11" s="54"/>
      <c r="CG11" s="54"/>
      <c r="CH11" s="54"/>
      <c r="CI11" s="55"/>
      <c r="CJ11" s="55"/>
      <c r="CK11" s="55"/>
      <c r="CL11" s="55"/>
      <c r="CM11" s="55"/>
      <c r="CN11" s="54"/>
      <c r="CO11" s="54"/>
      <c r="CP11" s="54"/>
      <c r="CQ11" s="54"/>
      <c r="CR11" s="54"/>
      <c r="CS11" s="55"/>
      <c r="CT11" s="55"/>
      <c r="CU11" s="55"/>
      <c r="CV11" s="55"/>
      <c r="CW11" s="55"/>
      <c r="CX11" s="54"/>
      <c r="CY11" s="54"/>
      <c r="CZ11" s="54"/>
      <c r="DA11" s="54"/>
      <c r="DB11" s="54"/>
      <c r="DC11" s="55"/>
      <c r="DD11" s="55"/>
      <c r="DE11" s="55"/>
      <c r="DF11" s="55"/>
      <c r="DG11" s="55"/>
      <c r="DH11" s="54"/>
      <c r="DI11" s="54"/>
      <c r="DJ11" s="54"/>
      <c r="DK11" s="54"/>
      <c r="DL11" s="54"/>
      <c r="DM11" s="55"/>
      <c r="DN11" s="55"/>
      <c r="DO11" s="55"/>
      <c r="DP11" s="55"/>
      <c r="DQ11" s="55"/>
      <c r="DR11" s="54"/>
      <c r="DS11" s="54"/>
      <c r="DT11" s="54"/>
      <c r="DU11" s="54"/>
      <c r="DV11" s="54"/>
      <c r="DW11" s="55"/>
      <c r="DX11" s="55"/>
      <c r="DY11" s="55"/>
      <c r="DZ11" s="55"/>
      <c r="EA11" s="55"/>
      <c r="EB11" s="54"/>
      <c r="EC11" s="54"/>
      <c r="ED11" s="54"/>
      <c r="EE11" s="54"/>
      <c r="EF11" s="54"/>
      <c r="EG11" s="55"/>
      <c r="EH11" s="55"/>
      <c r="EI11" s="55"/>
      <c r="EJ11" s="55"/>
      <c r="EK11" s="55"/>
      <c r="EL11" s="54"/>
      <c r="EM11" s="54"/>
      <c r="EN11" s="54"/>
      <c r="EO11" s="54"/>
      <c r="EP11" s="54"/>
      <c r="EQ11" s="55"/>
      <c r="ER11" s="55"/>
      <c r="ES11" s="55"/>
      <c r="ET11" s="55"/>
      <c r="EU11" s="55"/>
      <c r="EV11" s="54"/>
      <c r="EW11" s="54"/>
      <c r="EX11" s="54"/>
      <c r="EY11" s="54"/>
      <c r="EZ11" s="54"/>
      <c r="FA11" s="56" t="n">
        <f aca="false">COUNTIF(B11:EZ11,"A")</f>
        <v>0</v>
      </c>
      <c r="FB11" s="57" t="n">
        <f aca="false">COUNTIF(B11:EZ11,"O")</f>
        <v>0</v>
      </c>
      <c r="FC11" s="58" t="n">
        <f aca="false">COUNTIF(B11:EZ11,"D")</f>
        <v>0</v>
      </c>
      <c r="FD11" s="59" t="n">
        <f aca="false">COUNTIF(B11:EZ11,"N/A")</f>
        <v>0</v>
      </c>
      <c r="FE11" s="60" t="n">
        <f aca="false">IFERROR((FA11+FB11)/(FA11+FB11+FC11),0)</f>
        <v>0</v>
      </c>
    </row>
    <row r="12" customFormat="false" ht="18" hidden="false" customHeight="true" outlineLevel="0" collapsed="false">
      <c r="A12" s="53" t="str">
        <f aca="false">Roster!B12</f>
        <v>Resident 8</v>
      </c>
      <c r="B12" s="54"/>
      <c r="C12" s="54"/>
      <c r="D12" s="54"/>
      <c r="E12" s="54"/>
      <c r="F12" s="54"/>
      <c r="G12" s="55"/>
      <c r="H12" s="55"/>
      <c r="I12" s="55"/>
      <c r="J12" s="55"/>
      <c r="K12" s="55"/>
      <c r="L12" s="54"/>
      <c r="M12" s="54"/>
      <c r="N12" s="54"/>
      <c r="O12" s="54"/>
      <c r="P12" s="54"/>
      <c r="Q12" s="55"/>
      <c r="R12" s="55"/>
      <c r="S12" s="55"/>
      <c r="T12" s="55"/>
      <c r="U12" s="55"/>
      <c r="V12" s="54"/>
      <c r="W12" s="54"/>
      <c r="X12" s="54"/>
      <c r="Y12" s="54"/>
      <c r="Z12" s="54"/>
      <c r="AA12" s="55"/>
      <c r="AB12" s="55"/>
      <c r="AC12" s="55"/>
      <c r="AD12" s="55"/>
      <c r="AE12" s="55"/>
      <c r="AF12" s="54"/>
      <c r="AG12" s="54"/>
      <c r="AH12" s="54"/>
      <c r="AI12" s="54"/>
      <c r="AJ12" s="54"/>
      <c r="AK12" s="55"/>
      <c r="AL12" s="55"/>
      <c r="AM12" s="55"/>
      <c r="AN12" s="55"/>
      <c r="AO12" s="55"/>
      <c r="AP12" s="54"/>
      <c r="AQ12" s="54"/>
      <c r="AR12" s="54"/>
      <c r="AS12" s="54"/>
      <c r="AT12" s="54"/>
      <c r="AU12" s="55"/>
      <c r="AV12" s="55"/>
      <c r="AW12" s="55"/>
      <c r="AX12" s="55"/>
      <c r="AY12" s="55"/>
      <c r="AZ12" s="54"/>
      <c r="BA12" s="54"/>
      <c r="BB12" s="54"/>
      <c r="BC12" s="54"/>
      <c r="BD12" s="54"/>
      <c r="BE12" s="55"/>
      <c r="BF12" s="55"/>
      <c r="BG12" s="55"/>
      <c r="BH12" s="55"/>
      <c r="BI12" s="55"/>
      <c r="BJ12" s="54"/>
      <c r="BK12" s="54"/>
      <c r="BL12" s="54"/>
      <c r="BM12" s="54"/>
      <c r="BN12" s="54"/>
      <c r="BO12" s="55"/>
      <c r="BP12" s="55"/>
      <c r="BQ12" s="55"/>
      <c r="BR12" s="55"/>
      <c r="BS12" s="55"/>
      <c r="BT12" s="54"/>
      <c r="BU12" s="54"/>
      <c r="BV12" s="54"/>
      <c r="BW12" s="54"/>
      <c r="BX12" s="54"/>
      <c r="BY12" s="55"/>
      <c r="BZ12" s="55"/>
      <c r="CA12" s="55"/>
      <c r="CB12" s="55"/>
      <c r="CC12" s="55"/>
      <c r="CD12" s="54"/>
      <c r="CE12" s="54"/>
      <c r="CF12" s="54"/>
      <c r="CG12" s="54"/>
      <c r="CH12" s="54"/>
      <c r="CI12" s="55"/>
      <c r="CJ12" s="55"/>
      <c r="CK12" s="55"/>
      <c r="CL12" s="55"/>
      <c r="CM12" s="55"/>
      <c r="CN12" s="54"/>
      <c r="CO12" s="54"/>
      <c r="CP12" s="54"/>
      <c r="CQ12" s="54"/>
      <c r="CR12" s="54"/>
      <c r="CS12" s="55"/>
      <c r="CT12" s="55"/>
      <c r="CU12" s="55"/>
      <c r="CV12" s="55"/>
      <c r="CW12" s="55"/>
      <c r="CX12" s="54"/>
      <c r="CY12" s="54"/>
      <c r="CZ12" s="54"/>
      <c r="DA12" s="54"/>
      <c r="DB12" s="54"/>
      <c r="DC12" s="55"/>
      <c r="DD12" s="55"/>
      <c r="DE12" s="55"/>
      <c r="DF12" s="55"/>
      <c r="DG12" s="55"/>
      <c r="DH12" s="54"/>
      <c r="DI12" s="54"/>
      <c r="DJ12" s="54"/>
      <c r="DK12" s="54"/>
      <c r="DL12" s="54"/>
      <c r="DM12" s="55"/>
      <c r="DN12" s="55"/>
      <c r="DO12" s="55"/>
      <c r="DP12" s="55"/>
      <c r="DQ12" s="55"/>
      <c r="DR12" s="54"/>
      <c r="DS12" s="54"/>
      <c r="DT12" s="54"/>
      <c r="DU12" s="54"/>
      <c r="DV12" s="54"/>
      <c r="DW12" s="55"/>
      <c r="DX12" s="55"/>
      <c r="DY12" s="55"/>
      <c r="DZ12" s="55"/>
      <c r="EA12" s="55"/>
      <c r="EB12" s="54"/>
      <c r="EC12" s="54"/>
      <c r="ED12" s="54"/>
      <c r="EE12" s="54"/>
      <c r="EF12" s="54"/>
      <c r="EG12" s="55"/>
      <c r="EH12" s="55"/>
      <c r="EI12" s="55"/>
      <c r="EJ12" s="55"/>
      <c r="EK12" s="55"/>
      <c r="EL12" s="54"/>
      <c r="EM12" s="54"/>
      <c r="EN12" s="54"/>
      <c r="EO12" s="54"/>
      <c r="EP12" s="54"/>
      <c r="EQ12" s="55"/>
      <c r="ER12" s="55"/>
      <c r="ES12" s="55"/>
      <c r="ET12" s="55"/>
      <c r="EU12" s="55"/>
      <c r="EV12" s="54"/>
      <c r="EW12" s="54"/>
      <c r="EX12" s="54"/>
      <c r="EY12" s="54"/>
      <c r="EZ12" s="54"/>
      <c r="FA12" s="56" t="n">
        <f aca="false">COUNTIF(B12:EZ12,"A")</f>
        <v>0</v>
      </c>
      <c r="FB12" s="57" t="n">
        <f aca="false">COUNTIF(B12:EZ12,"O")</f>
        <v>0</v>
      </c>
      <c r="FC12" s="58" t="n">
        <f aca="false">COUNTIF(B12:EZ12,"D")</f>
        <v>0</v>
      </c>
      <c r="FD12" s="59" t="n">
        <f aca="false">COUNTIF(B12:EZ12,"N/A")</f>
        <v>0</v>
      </c>
      <c r="FE12" s="60" t="n">
        <f aca="false">IFERROR((FA12+FB12)/(FA12+FB12+FC12),0)</f>
        <v>0</v>
      </c>
    </row>
    <row r="13" customFormat="false" ht="18" hidden="false" customHeight="true" outlineLevel="0" collapsed="false">
      <c r="A13" s="53" t="str">
        <f aca="false">Roster!B13</f>
        <v>Resident 9</v>
      </c>
      <c r="B13" s="54"/>
      <c r="C13" s="54"/>
      <c r="D13" s="54"/>
      <c r="E13" s="54"/>
      <c r="F13" s="54"/>
      <c r="G13" s="55"/>
      <c r="H13" s="55"/>
      <c r="I13" s="55"/>
      <c r="J13" s="55"/>
      <c r="K13" s="55"/>
      <c r="L13" s="54"/>
      <c r="M13" s="54"/>
      <c r="N13" s="54"/>
      <c r="O13" s="54"/>
      <c r="P13" s="54"/>
      <c r="Q13" s="55"/>
      <c r="R13" s="55"/>
      <c r="S13" s="55"/>
      <c r="T13" s="55"/>
      <c r="U13" s="55"/>
      <c r="V13" s="54"/>
      <c r="W13" s="54"/>
      <c r="X13" s="54"/>
      <c r="Y13" s="54"/>
      <c r="Z13" s="54"/>
      <c r="AA13" s="55"/>
      <c r="AB13" s="55"/>
      <c r="AC13" s="55"/>
      <c r="AD13" s="55"/>
      <c r="AE13" s="55"/>
      <c r="AF13" s="54"/>
      <c r="AG13" s="54"/>
      <c r="AH13" s="54"/>
      <c r="AI13" s="54"/>
      <c r="AJ13" s="54"/>
      <c r="AK13" s="55"/>
      <c r="AL13" s="55"/>
      <c r="AM13" s="55"/>
      <c r="AN13" s="55"/>
      <c r="AO13" s="55"/>
      <c r="AP13" s="54"/>
      <c r="AQ13" s="54"/>
      <c r="AR13" s="54"/>
      <c r="AS13" s="54"/>
      <c r="AT13" s="54"/>
      <c r="AU13" s="55"/>
      <c r="AV13" s="55"/>
      <c r="AW13" s="55"/>
      <c r="AX13" s="55"/>
      <c r="AY13" s="55"/>
      <c r="AZ13" s="54"/>
      <c r="BA13" s="54"/>
      <c r="BB13" s="54"/>
      <c r="BC13" s="54"/>
      <c r="BD13" s="54"/>
      <c r="BE13" s="55"/>
      <c r="BF13" s="55"/>
      <c r="BG13" s="55"/>
      <c r="BH13" s="55"/>
      <c r="BI13" s="55"/>
      <c r="BJ13" s="54"/>
      <c r="BK13" s="54"/>
      <c r="BL13" s="54"/>
      <c r="BM13" s="54"/>
      <c r="BN13" s="54"/>
      <c r="BO13" s="55"/>
      <c r="BP13" s="55"/>
      <c r="BQ13" s="55"/>
      <c r="BR13" s="55"/>
      <c r="BS13" s="55"/>
      <c r="BT13" s="54"/>
      <c r="BU13" s="54"/>
      <c r="BV13" s="54"/>
      <c r="BW13" s="54"/>
      <c r="BX13" s="54"/>
      <c r="BY13" s="55"/>
      <c r="BZ13" s="55"/>
      <c r="CA13" s="55"/>
      <c r="CB13" s="55"/>
      <c r="CC13" s="55"/>
      <c r="CD13" s="54"/>
      <c r="CE13" s="54"/>
      <c r="CF13" s="54"/>
      <c r="CG13" s="54"/>
      <c r="CH13" s="54"/>
      <c r="CI13" s="55"/>
      <c r="CJ13" s="55"/>
      <c r="CK13" s="55"/>
      <c r="CL13" s="55"/>
      <c r="CM13" s="55"/>
      <c r="CN13" s="54"/>
      <c r="CO13" s="54"/>
      <c r="CP13" s="54"/>
      <c r="CQ13" s="54"/>
      <c r="CR13" s="54"/>
      <c r="CS13" s="55"/>
      <c r="CT13" s="55"/>
      <c r="CU13" s="55"/>
      <c r="CV13" s="55"/>
      <c r="CW13" s="55"/>
      <c r="CX13" s="54"/>
      <c r="CY13" s="54"/>
      <c r="CZ13" s="54"/>
      <c r="DA13" s="54"/>
      <c r="DB13" s="54"/>
      <c r="DC13" s="55"/>
      <c r="DD13" s="55"/>
      <c r="DE13" s="55"/>
      <c r="DF13" s="55"/>
      <c r="DG13" s="55"/>
      <c r="DH13" s="54"/>
      <c r="DI13" s="54"/>
      <c r="DJ13" s="54"/>
      <c r="DK13" s="54"/>
      <c r="DL13" s="54"/>
      <c r="DM13" s="55"/>
      <c r="DN13" s="55"/>
      <c r="DO13" s="55"/>
      <c r="DP13" s="55"/>
      <c r="DQ13" s="55"/>
      <c r="DR13" s="54"/>
      <c r="DS13" s="54"/>
      <c r="DT13" s="54"/>
      <c r="DU13" s="54"/>
      <c r="DV13" s="54"/>
      <c r="DW13" s="55"/>
      <c r="DX13" s="55"/>
      <c r="DY13" s="55"/>
      <c r="DZ13" s="55"/>
      <c r="EA13" s="55"/>
      <c r="EB13" s="54"/>
      <c r="EC13" s="54"/>
      <c r="ED13" s="54"/>
      <c r="EE13" s="54"/>
      <c r="EF13" s="54"/>
      <c r="EG13" s="55"/>
      <c r="EH13" s="55"/>
      <c r="EI13" s="55"/>
      <c r="EJ13" s="55"/>
      <c r="EK13" s="55"/>
      <c r="EL13" s="54"/>
      <c r="EM13" s="54"/>
      <c r="EN13" s="54"/>
      <c r="EO13" s="54"/>
      <c r="EP13" s="54"/>
      <c r="EQ13" s="55"/>
      <c r="ER13" s="55"/>
      <c r="ES13" s="55"/>
      <c r="ET13" s="55"/>
      <c r="EU13" s="55"/>
      <c r="EV13" s="54"/>
      <c r="EW13" s="54"/>
      <c r="EX13" s="54"/>
      <c r="EY13" s="54"/>
      <c r="EZ13" s="54"/>
      <c r="FA13" s="56" t="n">
        <f aca="false">COUNTIF(B13:EZ13,"A")</f>
        <v>0</v>
      </c>
      <c r="FB13" s="57" t="n">
        <f aca="false">COUNTIF(B13:EZ13,"O")</f>
        <v>0</v>
      </c>
      <c r="FC13" s="58" t="n">
        <f aca="false">COUNTIF(B13:EZ13,"D")</f>
        <v>0</v>
      </c>
      <c r="FD13" s="59" t="n">
        <f aca="false">COUNTIF(B13:EZ13,"N/A")</f>
        <v>0</v>
      </c>
      <c r="FE13" s="60" t="n">
        <f aca="false">IFERROR((FA13+FB13)/(FA13+FB13+FC13),0)</f>
        <v>0</v>
      </c>
    </row>
    <row r="14" customFormat="false" ht="18" hidden="false" customHeight="true" outlineLevel="0" collapsed="false">
      <c r="A14" s="53" t="str">
        <f aca="false">Roster!B14</f>
        <v>Resident 10</v>
      </c>
      <c r="B14" s="54"/>
      <c r="C14" s="54"/>
      <c r="D14" s="54"/>
      <c r="E14" s="54"/>
      <c r="F14" s="54"/>
      <c r="G14" s="55"/>
      <c r="H14" s="55"/>
      <c r="I14" s="55"/>
      <c r="J14" s="55"/>
      <c r="K14" s="55"/>
      <c r="L14" s="54"/>
      <c r="M14" s="54"/>
      <c r="N14" s="54"/>
      <c r="O14" s="54"/>
      <c r="P14" s="54"/>
      <c r="Q14" s="55"/>
      <c r="R14" s="55"/>
      <c r="S14" s="55"/>
      <c r="T14" s="55"/>
      <c r="U14" s="55"/>
      <c r="V14" s="54"/>
      <c r="W14" s="54"/>
      <c r="X14" s="54"/>
      <c r="Y14" s="54"/>
      <c r="Z14" s="54"/>
      <c r="AA14" s="55"/>
      <c r="AB14" s="55"/>
      <c r="AC14" s="55"/>
      <c r="AD14" s="55"/>
      <c r="AE14" s="55"/>
      <c r="AF14" s="54"/>
      <c r="AG14" s="54"/>
      <c r="AH14" s="54"/>
      <c r="AI14" s="54"/>
      <c r="AJ14" s="54"/>
      <c r="AK14" s="55"/>
      <c r="AL14" s="55"/>
      <c r="AM14" s="55"/>
      <c r="AN14" s="55"/>
      <c r="AO14" s="55"/>
      <c r="AP14" s="54"/>
      <c r="AQ14" s="54"/>
      <c r="AR14" s="54"/>
      <c r="AS14" s="54"/>
      <c r="AT14" s="54"/>
      <c r="AU14" s="55"/>
      <c r="AV14" s="55"/>
      <c r="AW14" s="55"/>
      <c r="AX14" s="55"/>
      <c r="AY14" s="55"/>
      <c r="AZ14" s="54"/>
      <c r="BA14" s="54"/>
      <c r="BB14" s="54"/>
      <c r="BC14" s="54"/>
      <c r="BD14" s="54"/>
      <c r="BE14" s="55"/>
      <c r="BF14" s="55"/>
      <c r="BG14" s="55"/>
      <c r="BH14" s="55"/>
      <c r="BI14" s="55"/>
      <c r="BJ14" s="54"/>
      <c r="BK14" s="54"/>
      <c r="BL14" s="54"/>
      <c r="BM14" s="54"/>
      <c r="BN14" s="54"/>
      <c r="BO14" s="55"/>
      <c r="BP14" s="55"/>
      <c r="BQ14" s="55"/>
      <c r="BR14" s="55"/>
      <c r="BS14" s="55"/>
      <c r="BT14" s="54"/>
      <c r="BU14" s="54"/>
      <c r="BV14" s="54"/>
      <c r="BW14" s="54"/>
      <c r="BX14" s="54"/>
      <c r="BY14" s="55"/>
      <c r="BZ14" s="55"/>
      <c r="CA14" s="55"/>
      <c r="CB14" s="55"/>
      <c r="CC14" s="55"/>
      <c r="CD14" s="54"/>
      <c r="CE14" s="54"/>
      <c r="CF14" s="54"/>
      <c r="CG14" s="54"/>
      <c r="CH14" s="54"/>
      <c r="CI14" s="55"/>
      <c r="CJ14" s="55"/>
      <c r="CK14" s="55"/>
      <c r="CL14" s="55"/>
      <c r="CM14" s="55"/>
      <c r="CN14" s="54"/>
      <c r="CO14" s="54"/>
      <c r="CP14" s="54"/>
      <c r="CQ14" s="54"/>
      <c r="CR14" s="54"/>
      <c r="CS14" s="55"/>
      <c r="CT14" s="55"/>
      <c r="CU14" s="55"/>
      <c r="CV14" s="55"/>
      <c r="CW14" s="55"/>
      <c r="CX14" s="54"/>
      <c r="CY14" s="54"/>
      <c r="CZ14" s="54"/>
      <c r="DA14" s="54"/>
      <c r="DB14" s="54"/>
      <c r="DC14" s="55"/>
      <c r="DD14" s="55"/>
      <c r="DE14" s="55"/>
      <c r="DF14" s="55"/>
      <c r="DG14" s="55"/>
      <c r="DH14" s="54"/>
      <c r="DI14" s="54"/>
      <c r="DJ14" s="54"/>
      <c r="DK14" s="54"/>
      <c r="DL14" s="54"/>
      <c r="DM14" s="55"/>
      <c r="DN14" s="55"/>
      <c r="DO14" s="55"/>
      <c r="DP14" s="55"/>
      <c r="DQ14" s="55"/>
      <c r="DR14" s="54"/>
      <c r="DS14" s="54"/>
      <c r="DT14" s="54"/>
      <c r="DU14" s="54"/>
      <c r="DV14" s="54"/>
      <c r="DW14" s="55"/>
      <c r="DX14" s="55"/>
      <c r="DY14" s="55"/>
      <c r="DZ14" s="55"/>
      <c r="EA14" s="55"/>
      <c r="EB14" s="54"/>
      <c r="EC14" s="54"/>
      <c r="ED14" s="54"/>
      <c r="EE14" s="54"/>
      <c r="EF14" s="54"/>
      <c r="EG14" s="55"/>
      <c r="EH14" s="55"/>
      <c r="EI14" s="55"/>
      <c r="EJ14" s="55"/>
      <c r="EK14" s="55"/>
      <c r="EL14" s="54"/>
      <c r="EM14" s="54"/>
      <c r="EN14" s="54"/>
      <c r="EO14" s="54"/>
      <c r="EP14" s="54"/>
      <c r="EQ14" s="55"/>
      <c r="ER14" s="55"/>
      <c r="ES14" s="55"/>
      <c r="ET14" s="55"/>
      <c r="EU14" s="55"/>
      <c r="EV14" s="54"/>
      <c r="EW14" s="54"/>
      <c r="EX14" s="54"/>
      <c r="EY14" s="54"/>
      <c r="EZ14" s="54"/>
      <c r="FA14" s="56" t="n">
        <f aca="false">COUNTIF(B14:EZ14,"A")</f>
        <v>0</v>
      </c>
      <c r="FB14" s="57" t="n">
        <f aca="false">COUNTIF(B14:EZ14,"O")</f>
        <v>0</v>
      </c>
      <c r="FC14" s="58" t="n">
        <f aca="false">COUNTIF(B14:EZ14,"D")</f>
        <v>0</v>
      </c>
      <c r="FD14" s="59" t="n">
        <f aca="false">COUNTIF(B14:EZ14,"N/A")</f>
        <v>0</v>
      </c>
      <c r="FE14" s="60" t="n">
        <f aca="false">IFERROR((FA14+FB14)/(FA14+FB14+FC14),0)</f>
        <v>0</v>
      </c>
    </row>
    <row r="15" customFormat="false" ht="18" hidden="false" customHeight="true" outlineLevel="0" collapsed="false">
      <c r="A15" s="53" t="str">
        <f aca="false">Roster!B15</f>
        <v>Resident 11</v>
      </c>
      <c r="B15" s="54"/>
      <c r="C15" s="54"/>
      <c r="D15" s="54"/>
      <c r="E15" s="54"/>
      <c r="F15" s="54"/>
      <c r="G15" s="55"/>
      <c r="H15" s="55"/>
      <c r="I15" s="55"/>
      <c r="J15" s="55"/>
      <c r="K15" s="55"/>
      <c r="L15" s="54"/>
      <c r="M15" s="54"/>
      <c r="N15" s="54"/>
      <c r="O15" s="54"/>
      <c r="P15" s="54"/>
      <c r="Q15" s="55"/>
      <c r="R15" s="55"/>
      <c r="S15" s="55"/>
      <c r="T15" s="55"/>
      <c r="U15" s="55"/>
      <c r="V15" s="54"/>
      <c r="W15" s="54"/>
      <c r="X15" s="54"/>
      <c r="Y15" s="54"/>
      <c r="Z15" s="54"/>
      <c r="AA15" s="55"/>
      <c r="AB15" s="55"/>
      <c r="AC15" s="55"/>
      <c r="AD15" s="55"/>
      <c r="AE15" s="55"/>
      <c r="AF15" s="54"/>
      <c r="AG15" s="54"/>
      <c r="AH15" s="54"/>
      <c r="AI15" s="54"/>
      <c r="AJ15" s="54"/>
      <c r="AK15" s="55"/>
      <c r="AL15" s="55"/>
      <c r="AM15" s="55"/>
      <c r="AN15" s="55"/>
      <c r="AO15" s="55"/>
      <c r="AP15" s="54"/>
      <c r="AQ15" s="54"/>
      <c r="AR15" s="54"/>
      <c r="AS15" s="54"/>
      <c r="AT15" s="54"/>
      <c r="AU15" s="55"/>
      <c r="AV15" s="55"/>
      <c r="AW15" s="55"/>
      <c r="AX15" s="55"/>
      <c r="AY15" s="55"/>
      <c r="AZ15" s="54"/>
      <c r="BA15" s="54"/>
      <c r="BB15" s="54"/>
      <c r="BC15" s="54"/>
      <c r="BD15" s="54"/>
      <c r="BE15" s="55"/>
      <c r="BF15" s="55"/>
      <c r="BG15" s="55"/>
      <c r="BH15" s="55"/>
      <c r="BI15" s="55"/>
      <c r="BJ15" s="54"/>
      <c r="BK15" s="54"/>
      <c r="BL15" s="54"/>
      <c r="BM15" s="54"/>
      <c r="BN15" s="54"/>
      <c r="BO15" s="55"/>
      <c r="BP15" s="55"/>
      <c r="BQ15" s="55"/>
      <c r="BR15" s="55"/>
      <c r="BS15" s="55"/>
      <c r="BT15" s="54"/>
      <c r="BU15" s="54"/>
      <c r="BV15" s="54"/>
      <c r="BW15" s="54"/>
      <c r="BX15" s="54"/>
      <c r="BY15" s="55"/>
      <c r="BZ15" s="55"/>
      <c r="CA15" s="55"/>
      <c r="CB15" s="55"/>
      <c r="CC15" s="55"/>
      <c r="CD15" s="54"/>
      <c r="CE15" s="54"/>
      <c r="CF15" s="54"/>
      <c r="CG15" s="54"/>
      <c r="CH15" s="54"/>
      <c r="CI15" s="55"/>
      <c r="CJ15" s="55"/>
      <c r="CK15" s="55"/>
      <c r="CL15" s="55"/>
      <c r="CM15" s="55"/>
      <c r="CN15" s="54"/>
      <c r="CO15" s="54"/>
      <c r="CP15" s="54"/>
      <c r="CQ15" s="54"/>
      <c r="CR15" s="54"/>
      <c r="CS15" s="55"/>
      <c r="CT15" s="55"/>
      <c r="CU15" s="55"/>
      <c r="CV15" s="55"/>
      <c r="CW15" s="55"/>
      <c r="CX15" s="54"/>
      <c r="CY15" s="54"/>
      <c r="CZ15" s="54"/>
      <c r="DA15" s="54"/>
      <c r="DB15" s="54"/>
      <c r="DC15" s="55"/>
      <c r="DD15" s="55"/>
      <c r="DE15" s="55"/>
      <c r="DF15" s="55"/>
      <c r="DG15" s="55"/>
      <c r="DH15" s="54"/>
      <c r="DI15" s="54"/>
      <c r="DJ15" s="54"/>
      <c r="DK15" s="54"/>
      <c r="DL15" s="54"/>
      <c r="DM15" s="55"/>
      <c r="DN15" s="55"/>
      <c r="DO15" s="55"/>
      <c r="DP15" s="55"/>
      <c r="DQ15" s="55"/>
      <c r="DR15" s="54"/>
      <c r="DS15" s="54"/>
      <c r="DT15" s="54"/>
      <c r="DU15" s="54"/>
      <c r="DV15" s="54"/>
      <c r="DW15" s="55"/>
      <c r="DX15" s="55"/>
      <c r="DY15" s="55"/>
      <c r="DZ15" s="55"/>
      <c r="EA15" s="55"/>
      <c r="EB15" s="54"/>
      <c r="EC15" s="54"/>
      <c r="ED15" s="54"/>
      <c r="EE15" s="54"/>
      <c r="EF15" s="54"/>
      <c r="EG15" s="55"/>
      <c r="EH15" s="55"/>
      <c r="EI15" s="55"/>
      <c r="EJ15" s="55"/>
      <c r="EK15" s="55"/>
      <c r="EL15" s="54"/>
      <c r="EM15" s="54"/>
      <c r="EN15" s="54"/>
      <c r="EO15" s="54"/>
      <c r="EP15" s="54"/>
      <c r="EQ15" s="55"/>
      <c r="ER15" s="55"/>
      <c r="ES15" s="55"/>
      <c r="ET15" s="55"/>
      <c r="EU15" s="55"/>
      <c r="EV15" s="54"/>
      <c r="EW15" s="54"/>
      <c r="EX15" s="54"/>
      <c r="EY15" s="54"/>
      <c r="EZ15" s="54"/>
      <c r="FA15" s="56" t="n">
        <f aca="false">COUNTIF(B15:EZ15,"A")</f>
        <v>0</v>
      </c>
      <c r="FB15" s="57" t="n">
        <f aca="false">COUNTIF(B15:EZ15,"O")</f>
        <v>0</v>
      </c>
      <c r="FC15" s="58" t="n">
        <f aca="false">COUNTIF(B15:EZ15,"D")</f>
        <v>0</v>
      </c>
      <c r="FD15" s="59" t="n">
        <f aca="false">COUNTIF(B15:EZ15,"N/A")</f>
        <v>0</v>
      </c>
      <c r="FE15" s="60" t="n">
        <f aca="false">IFERROR((FA15+FB15)/(FA15+FB15+FC15),0)</f>
        <v>0</v>
      </c>
    </row>
    <row r="16" customFormat="false" ht="18" hidden="false" customHeight="true" outlineLevel="0" collapsed="false">
      <c r="A16" s="53" t="str">
        <f aca="false">Roster!B16</f>
        <v>Resident 12</v>
      </c>
      <c r="B16" s="54"/>
      <c r="C16" s="54"/>
      <c r="D16" s="54"/>
      <c r="E16" s="54"/>
      <c r="F16" s="54"/>
      <c r="G16" s="55"/>
      <c r="H16" s="55"/>
      <c r="I16" s="55"/>
      <c r="J16" s="55"/>
      <c r="K16" s="55"/>
      <c r="L16" s="54"/>
      <c r="M16" s="54"/>
      <c r="N16" s="54"/>
      <c r="O16" s="54"/>
      <c r="P16" s="54"/>
      <c r="Q16" s="55"/>
      <c r="R16" s="55"/>
      <c r="S16" s="55"/>
      <c r="T16" s="55"/>
      <c r="U16" s="55"/>
      <c r="V16" s="54"/>
      <c r="W16" s="54"/>
      <c r="X16" s="54"/>
      <c r="Y16" s="54"/>
      <c r="Z16" s="54"/>
      <c r="AA16" s="55"/>
      <c r="AB16" s="55"/>
      <c r="AC16" s="55"/>
      <c r="AD16" s="55"/>
      <c r="AE16" s="55"/>
      <c r="AF16" s="54"/>
      <c r="AG16" s="54"/>
      <c r="AH16" s="54"/>
      <c r="AI16" s="54"/>
      <c r="AJ16" s="54"/>
      <c r="AK16" s="55"/>
      <c r="AL16" s="55"/>
      <c r="AM16" s="55"/>
      <c r="AN16" s="55"/>
      <c r="AO16" s="55"/>
      <c r="AP16" s="54"/>
      <c r="AQ16" s="54"/>
      <c r="AR16" s="54"/>
      <c r="AS16" s="54"/>
      <c r="AT16" s="54"/>
      <c r="AU16" s="55"/>
      <c r="AV16" s="55"/>
      <c r="AW16" s="55"/>
      <c r="AX16" s="55"/>
      <c r="AY16" s="55"/>
      <c r="AZ16" s="54"/>
      <c r="BA16" s="54"/>
      <c r="BB16" s="54"/>
      <c r="BC16" s="54"/>
      <c r="BD16" s="54"/>
      <c r="BE16" s="55"/>
      <c r="BF16" s="55"/>
      <c r="BG16" s="55"/>
      <c r="BH16" s="55"/>
      <c r="BI16" s="55"/>
      <c r="BJ16" s="54"/>
      <c r="BK16" s="54"/>
      <c r="BL16" s="54"/>
      <c r="BM16" s="54"/>
      <c r="BN16" s="54"/>
      <c r="BO16" s="55"/>
      <c r="BP16" s="55"/>
      <c r="BQ16" s="55"/>
      <c r="BR16" s="55"/>
      <c r="BS16" s="55"/>
      <c r="BT16" s="54"/>
      <c r="BU16" s="54"/>
      <c r="BV16" s="54"/>
      <c r="BW16" s="54"/>
      <c r="BX16" s="54"/>
      <c r="BY16" s="55"/>
      <c r="BZ16" s="55"/>
      <c r="CA16" s="55"/>
      <c r="CB16" s="55"/>
      <c r="CC16" s="55"/>
      <c r="CD16" s="54"/>
      <c r="CE16" s="54"/>
      <c r="CF16" s="54"/>
      <c r="CG16" s="54"/>
      <c r="CH16" s="54"/>
      <c r="CI16" s="55"/>
      <c r="CJ16" s="55"/>
      <c r="CK16" s="55"/>
      <c r="CL16" s="55"/>
      <c r="CM16" s="55"/>
      <c r="CN16" s="54"/>
      <c r="CO16" s="54"/>
      <c r="CP16" s="54"/>
      <c r="CQ16" s="54"/>
      <c r="CR16" s="54"/>
      <c r="CS16" s="55"/>
      <c r="CT16" s="55"/>
      <c r="CU16" s="55"/>
      <c r="CV16" s="55"/>
      <c r="CW16" s="55"/>
      <c r="CX16" s="54"/>
      <c r="CY16" s="54"/>
      <c r="CZ16" s="54"/>
      <c r="DA16" s="54"/>
      <c r="DB16" s="54"/>
      <c r="DC16" s="55"/>
      <c r="DD16" s="55"/>
      <c r="DE16" s="55"/>
      <c r="DF16" s="55"/>
      <c r="DG16" s="55"/>
      <c r="DH16" s="54"/>
      <c r="DI16" s="54"/>
      <c r="DJ16" s="54"/>
      <c r="DK16" s="54"/>
      <c r="DL16" s="54"/>
      <c r="DM16" s="55"/>
      <c r="DN16" s="55"/>
      <c r="DO16" s="55"/>
      <c r="DP16" s="55"/>
      <c r="DQ16" s="55"/>
      <c r="DR16" s="54"/>
      <c r="DS16" s="54"/>
      <c r="DT16" s="54"/>
      <c r="DU16" s="54"/>
      <c r="DV16" s="54"/>
      <c r="DW16" s="55"/>
      <c r="DX16" s="55"/>
      <c r="DY16" s="55"/>
      <c r="DZ16" s="55"/>
      <c r="EA16" s="55"/>
      <c r="EB16" s="54"/>
      <c r="EC16" s="54"/>
      <c r="ED16" s="54"/>
      <c r="EE16" s="54"/>
      <c r="EF16" s="54"/>
      <c r="EG16" s="55"/>
      <c r="EH16" s="55"/>
      <c r="EI16" s="55"/>
      <c r="EJ16" s="55"/>
      <c r="EK16" s="55"/>
      <c r="EL16" s="54"/>
      <c r="EM16" s="54"/>
      <c r="EN16" s="54"/>
      <c r="EO16" s="54"/>
      <c r="EP16" s="54"/>
      <c r="EQ16" s="55"/>
      <c r="ER16" s="55"/>
      <c r="ES16" s="55"/>
      <c r="ET16" s="55"/>
      <c r="EU16" s="55"/>
      <c r="EV16" s="54"/>
      <c r="EW16" s="54"/>
      <c r="EX16" s="54"/>
      <c r="EY16" s="54"/>
      <c r="EZ16" s="54"/>
      <c r="FA16" s="56" t="n">
        <f aca="false">COUNTIF(B16:EZ16,"A")</f>
        <v>0</v>
      </c>
      <c r="FB16" s="57" t="n">
        <f aca="false">COUNTIF(B16:EZ16,"O")</f>
        <v>0</v>
      </c>
      <c r="FC16" s="58" t="n">
        <f aca="false">COUNTIF(B16:EZ16,"D")</f>
        <v>0</v>
      </c>
      <c r="FD16" s="59" t="n">
        <f aca="false">COUNTIF(B16:EZ16,"N/A")</f>
        <v>0</v>
      </c>
      <c r="FE16" s="60" t="n">
        <f aca="false">IFERROR((FA16+FB16)/(FA16+FB16+FC16),0)</f>
        <v>0</v>
      </c>
    </row>
    <row r="17" customFormat="false" ht="18" hidden="false" customHeight="true" outlineLevel="0" collapsed="false">
      <c r="A17" s="53" t="str">
        <f aca="false">Roster!B17</f>
        <v>Resident 13</v>
      </c>
      <c r="B17" s="54"/>
      <c r="C17" s="54"/>
      <c r="D17" s="54"/>
      <c r="E17" s="54"/>
      <c r="F17" s="54"/>
      <c r="G17" s="55"/>
      <c r="H17" s="55"/>
      <c r="I17" s="55"/>
      <c r="J17" s="55"/>
      <c r="K17" s="55"/>
      <c r="L17" s="54"/>
      <c r="M17" s="54"/>
      <c r="N17" s="54"/>
      <c r="O17" s="54"/>
      <c r="P17" s="54"/>
      <c r="Q17" s="55"/>
      <c r="R17" s="55"/>
      <c r="S17" s="55"/>
      <c r="T17" s="55"/>
      <c r="U17" s="55"/>
      <c r="V17" s="54"/>
      <c r="W17" s="54"/>
      <c r="X17" s="54"/>
      <c r="Y17" s="54"/>
      <c r="Z17" s="54"/>
      <c r="AA17" s="55"/>
      <c r="AB17" s="55"/>
      <c r="AC17" s="55"/>
      <c r="AD17" s="55"/>
      <c r="AE17" s="55"/>
      <c r="AF17" s="54"/>
      <c r="AG17" s="54"/>
      <c r="AH17" s="54"/>
      <c r="AI17" s="54"/>
      <c r="AJ17" s="54"/>
      <c r="AK17" s="55"/>
      <c r="AL17" s="55"/>
      <c r="AM17" s="55"/>
      <c r="AN17" s="55"/>
      <c r="AO17" s="55"/>
      <c r="AP17" s="54"/>
      <c r="AQ17" s="54"/>
      <c r="AR17" s="54"/>
      <c r="AS17" s="54"/>
      <c r="AT17" s="54"/>
      <c r="AU17" s="55"/>
      <c r="AV17" s="55"/>
      <c r="AW17" s="55"/>
      <c r="AX17" s="55"/>
      <c r="AY17" s="55"/>
      <c r="AZ17" s="54"/>
      <c r="BA17" s="54"/>
      <c r="BB17" s="54"/>
      <c r="BC17" s="54"/>
      <c r="BD17" s="54"/>
      <c r="BE17" s="55"/>
      <c r="BF17" s="55"/>
      <c r="BG17" s="55"/>
      <c r="BH17" s="55"/>
      <c r="BI17" s="55"/>
      <c r="BJ17" s="54"/>
      <c r="BK17" s="54"/>
      <c r="BL17" s="54"/>
      <c r="BM17" s="54"/>
      <c r="BN17" s="54"/>
      <c r="BO17" s="55"/>
      <c r="BP17" s="55"/>
      <c r="BQ17" s="55"/>
      <c r="BR17" s="55"/>
      <c r="BS17" s="55"/>
      <c r="BT17" s="54"/>
      <c r="BU17" s="54"/>
      <c r="BV17" s="54"/>
      <c r="BW17" s="54"/>
      <c r="BX17" s="54"/>
      <c r="BY17" s="55"/>
      <c r="BZ17" s="55"/>
      <c r="CA17" s="55"/>
      <c r="CB17" s="55"/>
      <c r="CC17" s="55"/>
      <c r="CD17" s="54"/>
      <c r="CE17" s="54"/>
      <c r="CF17" s="54"/>
      <c r="CG17" s="54"/>
      <c r="CH17" s="54"/>
      <c r="CI17" s="55"/>
      <c r="CJ17" s="55"/>
      <c r="CK17" s="55"/>
      <c r="CL17" s="55"/>
      <c r="CM17" s="55"/>
      <c r="CN17" s="54"/>
      <c r="CO17" s="54"/>
      <c r="CP17" s="54"/>
      <c r="CQ17" s="54"/>
      <c r="CR17" s="54"/>
      <c r="CS17" s="55"/>
      <c r="CT17" s="55"/>
      <c r="CU17" s="55"/>
      <c r="CV17" s="55"/>
      <c r="CW17" s="55"/>
      <c r="CX17" s="54"/>
      <c r="CY17" s="54"/>
      <c r="CZ17" s="54"/>
      <c r="DA17" s="54"/>
      <c r="DB17" s="54"/>
      <c r="DC17" s="55"/>
      <c r="DD17" s="55"/>
      <c r="DE17" s="55"/>
      <c r="DF17" s="55"/>
      <c r="DG17" s="55"/>
      <c r="DH17" s="54"/>
      <c r="DI17" s="54"/>
      <c r="DJ17" s="54"/>
      <c r="DK17" s="54"/>
      <c r="DL17" s="54"/>
      <c r="DM17" s="55"/>
      <c r="DN17" s="55"/>
      <c r="DO17" s="55"/>
      <c r="DP17" s="55"/>
      <c r="DQ17" s="55"/>
      <c r="DR17" s="54"/>
      <c r="DS17" s="54"/>
      <c r="DT17" s="54"/>
      <c r="DU17" s="54"/>
      <c r="DV17" s="54"/>
      <c r="DW17" s="55"/>
      <c r="DX17" s="55"/>
      <c r="DY17" s="55"/>
      <c r="DZ17" s="55"/>
      <c r="EA17" s="55"/>
      <c r="EB17" s="54"/>
      <c r="EC17" s="54"/>
      <c r="ED17" s="54"/>
      <c r="EE17" s="54"/>
      <c r="EF17" s="54"/>
      <c r="EG17" s="55"/>
      <c r="EH17" s="55"/>
      <c r="EI17" s="55"/>
      <c r="EJ17" s="55"/>
      <c r="EK17" s="55"/>
      <c r="EL17" s="54"/>
      <c r="EM17" s="54"/>
      <c r="EN17" s="54"/>
      <c r="EO17" s="54"/>
      <c r="EP17" s="54"/>
      <c r="EQ17" s="55"/>
      <c r="ER17" s="55"/>
      <c r="ES17" s="55"/>
      <c r="ET17" s="55"/>
      <c r="EU17" s="55"/>
      <c r="EV17" s="54"/>
      <c r="EW17" s="54"/>
      <c r="EX17" s="54"/>
      <c r="EY17" s="54"/>
      <c r="EZ17" s="54"/>
      <c r="FA17" s="56" t="n">
        <f aca="false">COUNTIF(B17:EZ17,"A")</f>
        <v>0</v>
      </c>
      <c r="FB17" s="57" t="n">
        <f aca="false">COUNTIF(B17:EZ17,"O")</f>
        <v>0</v>
      </c>
      <c r="FC17" s="58" t="n">
        <f aca="false">COUNTIF(B17:EZ17,"D")</f>
        <v>0</v>
      </c>
      <c r="FD17" s="59" t="n">
        <f aca="false">COUNTIF(B17:EZ17,"N/A")</f>
        <v>0</v>
      </c>
      <c r="FE17" s="60" t="n">
        <f aca="false">IFERROR((FA17+FB17)/(FA17+FB17+FC17),0)</f>
        <v>0</v>
      </c>
    </row>
    <row r="18" customFormat="false" ht="18" hidden="false" customHeight="true" outlineLevel="0" collapsed="false">
      <c r="A18" s="53" t="str">
        <f aca="false">Roster!B18</f>
        <v>Resident 14</v>
      </c>
      <c r="B18" s="54"/>
      <c r="C18" s="54"/>
      <c r="D18" s="54"/>
      <c r="E18" s="54"/>
      <c r="F18" s="54"/>
      <c r="G18" s="55"/>
      <c r="H18" s="55"/>
      <c r="I18" s="55"/>
      <c r="J18" s="55"/>
      <c r="K18" s="55"/>
      <c r="L18" s="54"/>
      <c r="M18" s="54"/>
      <c r="N18" s="54"/>
      <c r="O18" s="54"/>
      <c r="P18" s="54"/>
      <c r="Q18" s="55"/>
      <c r="R18" s="55"/>
      <c r="S18" s="55"/>
      <c r="T18" s="55"/>
      <c r="U18" s="55"/>
      <c r="V18" s="54"/>
      <c r="W18" s="54"/>
      <c r="X18" s="54"/>
      <c r="Y18" s="54"/>
      <c r="Z18" s="54"/>
      <c r="AA18" s="55"/>
      <c r="AB18" s="55"/>
      <c r="AC18" s="55"/>
      <c r="AD18" s="55"/>
      <c r="AE18" s="55"/>
      <c r="AF18" s="54"/>
      <c r="AG18" s="54"/>
      <c r="AH18" s="54"/>
      <c r="AI18" s="54"/>
      <c r="AJ18" s="54"/>
      <c r="AK18" s="55"/>
      <c r="AL18" s="55"/>
      <c r="AM18" s="55"/>
      <c r="AN18" s="55"/>
      <c r="AO18" s="55"/>
      <c r="AP18" s="54"/>
      <c r="AQ18" s="54"/>
      <c r="AR18" s="54"/>
      <c r="AS18" s="54"/>
      <c r="AT18" s="54"/>
      <c r="AU18" s="55"/>
      <c r="AV18" s="55"/>
      <c r="AW18" s="55"/>
      <c r="AX18" s="55"/>
      <c r="AY18" s="55"/>
      <c r="AZ18" s="54"/>
      <c r="BA18" s="54"/>
      <c r="BB18" s="54"/>
      <c r="BC18" s="54"/>
      <c r="BD18" s="54"/>
      <c r="BE18" s="55"/>
      <c r="BF18" s="55"/>
      <c r="BG18" s="55"/>
      <c r="BH18" s="55"/>
      <c r="BI18" s="55"/>
      <c r="BJ18" s="54"/>
      <c r="BK18" s="54"/>
      <c r="BL18" s="54"/>
      <c r="BM18" s="54"/>
      <c r="BN18" s="54"/>
      <c r="BO18" s="55"/>
      <c r="BP18" s="55"/>
      <c r="BQ18" s="55"/>
      <c r="BR18" s="55"/>
      <c r="BS18" s="55"/>
      <c r="BT18" s="54"/>
      <c r="BU18" s="54"/>
      <c r="BV18" s="54"/>
      <c r="BW18" s="54"/>
      <c r="BX18" s="54"/>
      <c r="BY18" s="55"/>
      <c r="BZ18" s="55"/>
      <c r="CA18" s="55"/>
      <c r="CB18" s="55"/>
      <c r="CC18" s="55"/>
      <c r="CD18" s="54"/>
      <c r="CE18" s="54"/>
      <c r="CF18" s="54"/>
      <c r="CG18" s="54"/>
      <c r="CH18" s="54"/>
      <c r="CI18" s="55"/>
      <c r="CJ18" s="55"/>
      <c r="CK18" s="55"/>
      <c r="CL18" s="55"/>
      <c r="CM18" s="55"/>
      <c r="CN18" s="54"/>
      <c r="CO18" s="54"/>
      <c r="CP18" s="54"/>
      <c r="CQ18" s="54"/>
      <c r="CR18" s="54"/>
      <c r="CS18" s="55"/>
      <c r="CT18" s="55"/>
      <c r="CU18" s="55"/>
      <c r="CV18" s="55"/>
      <c r="CW18" s="55"/>
      <c r="CX18" s="54"/>
      <c r="CY18" s="54"/>
      <c r="CZ18" s="54"/>
      <c r="DA18" s="54"/>
      <c r="DB18" s="54"/>
      <c r="DC18" s="55"/>
      <c r="DD18" s="55"/>
      <c r="DE18" s="55"/>
      <c r="DF18" s="55"/>
      <c r="DG18" s="55"/>
      <c r="DH18" s="54"/>
      <c r="DI18" s="54"/>
      <c r="DJ18" s="54"/>
      <c r="DK18" s="54"/>
      <c r="DL18" s="54"/>
      <c r="DM18" s="55"/>
      <c r="DN18" s="55"/>
      <c r="DO18" s="55"/>
      <c r="DP18" s="55"/>
      <c r="DQ18" s="55"/>
      <c r="DR18" s="54"/>
      <c r="DS18" s="54"/>
      <c r="DT18" s="54"/>
      <c r="DU18" s="54"/>
      <c r="DV18" s="54"/>
      <c r="DW18" s="55"/>
      <c r="DX18" s="55"/>
      <c r="DY18" s="55"/>
      <c r="DZ18" s="55"/>
      <c r="EA18" s="55"/>
      <c r="EB18" s="54"/>
      <c r="EC18" s="54"/>
      <c r="ED18" s="54"/>
      <c r="EE18" s="54"/>
      <c r="EF18" s="54"/>
      <c r="EG18" s="55"/>
      <c r="EH18" s="55"/>
      <c r="EI18" s="55"/>
      <c r="EJ18" s="55"/>
      <c r="EK18" s="55"/>
      <c r="EL18" s="54"/>
      <c r="EM18" s="54"/>
      <c r="EN18" s="54"/>
      <c r="EO18" s="54"/>
      <c r="EP18" s="54"/>
      <c r="EQ18" s="55"/>
      <c r="ER18" s="55"/>
      <c r="ES18" s="55"/>
      <c r="ET18" s="55"/>
      <c r="EU18" s="55"/>
      <c r="EV18" s="54"/>
      <c r="EW18" s="54"/>
      <c r="EX18" s="54"/>
      <c r="EY18" s="54"/>
      <c r="EZ18" s="54"/>
      <c r="FA18" s="56" t="n">
        <f aca="false">COUNTIF(B18:EZ18,"A")</f>
        <v>0</v>
      </c>
      <c r="FB18" s="57" t="n">
        <f aca="false">COUNTIF(B18:EZ18,"O")</f>
        <v>0</v>
      </c>
      <c r="FC18" s="58" t="n">
        <f aca="false">COUNTIF(B18:EZ18,"D")</f>
        <v>0</v>
      </c>
      <c r="FD18" s="59" t="n">
        <f aca="false">COUNTIF(B18:EZ18,"N/A")</f>
        <v>0</v>
      </c>
      <c r="FE18" s="60" t="n">
        <f aca="false">IFERROR((FA18+FB18)/(FA18+FB18+FC18),0)</f>
        <v>0</v>
      </c>
    </row>
    <row r="19" customFormat="false" ht="18" hidden="false" customHeight="true" outlineLevel="0" collapsed="false">
      <c r="A19" s="53" t="str">
        <f aca="false">Roster!B19</f>
        <v>Resident 15</v>
      </c>
      <c r="B19" s="54"/>
      <c r="C19" s="54"/>
      <c r="D19" s="54"/>
      <c r="E19" s="54"/>
      <c r="F19" s="54"/>
      <c r="G19" s="55"/>
      <c r="H19" s="55"/>
      <c r="I19" s="55"/>
      <c r="J19" s="55"/>
      <c r="K19" s="55"/>
      <c r="L19" s="54"/>
      <c r="M19" s="54"/>
      <c r="N19" s="54"/>
      <c r="O19" s="54"/>
      <c r="P19" s="54"/>
      <c r="Q19" s="55"/>
      <c r="R19" s="55"/>
      <c r="S19" s="55"/>
      <c r="T19" s="55"/>
      <c r="U19" s="55"/>
      <c r="V19" s="54"/>
      <c r="W19" s="54"/>
      <c r="X19" s="54"/>
      <c r="Y19" s="54"/>
      <c r="Z19" s="54"/>
      <c r="AA19" s="55"/>
      <c r="AB19" s="55"/>
      <c r="AC19" s="55"/>
      <c r="AD19" s="55"/>
      <c r="AE19" s="55"/>
      <c r="AF19" s="54"/>
      <c r="AG19" s="54"/>
      <c r="AH19" s="54"/>
      <c r="AI19" s="54"/>
      <c r="AJ19" s="54"/>
      <c r="AK19" s="55"/>
      <c r="AL19" s="55"/>
      <c r="AM19" s="55"/>
      <c r="AN19" s="55"/>
      <c r="AO19" s="55"/>
      <c r="AP19" s="54"/>
      <c r="AQ19" s="54"/>
      <c r="AR19" s="54"/>
      <c r="AS19" s="54"/>
      <c r="AT19" s="54"/>
      <c r="AU19" s="55"/>
      <c r="AV19" s="55"/>
      <c r="AW19" s="55"/>
      <c r="AX19" s="55"/>
      <c r="AY19" s="55"/>
      <c r="AZ19" s="54"/>
      <c r="BA19" s="54"/>
      <c r="BB19" s="54"/>
      <c r="BC19" s="54"/>
      <c r="BD19" s="54"/>
      <c r="BE19" s="55"/>
      <c r="BF19" s="55"/>
      <c r="BG19" s="55"/>
      <c r="BH19" s="55"/>
      <c r="BI19" s="55"/>
      <c r="BJ19" s="54"/>
      <c r="BK19" s="54"/>
      <c r="BL19" s="54"/>
      <c r="BM19" s="54"/>
      <c r="BN19" s="54"/>
      <c r="BO19" s="55"/>
      <c r="BP19" s="55"/>
      <c r="BQ19" s="55"/>
      <c r="BR19" s="55"/>
      <c r="BS19" s="55"/>
      <c r="BT19" s="54"/>
      <c r="BU19" s="54"/>
      <c r="BV19" s="54"/>
      <c r="BW19" s="54"/>
      <c r="BX19" s="54"/>
      <c r="BY19" s="55"/>
      <c r="BZ19" s="55"/>
      <c r="CA19" s="55"/>
      <c r="CB19" s="55"/>
      <c r="CC19" s="55"/>
      <c r="CD19" s="54"/>
      <c r="CE19" s="54"/>
      <c r="CF19" s="54"/>
      <c r="CG19" s="54"/>
      <c r="CH19" s="54"/>
      <c r="CI19" s="55"/>
      <c r="CJ19" s="55"/>
      <c r="CK19" s="55"/>
      <c r="CL19" s="55"/>
      <c r="CM19" s="55"/>
      <c r="CN19" s="54"/>
      <c r="CO19" s="54"/>
      <c r="CP19" s="54"/>
      <c r="CQ19" s="54"/>
      <c r="CR19" s="54"/>
      <c r="CS19" s="55"/>
      <c r="CT19" s="55"/>
      <c r="CU19" s="55"/>
      <c r="CV19" s="55"/>
      <c r="CW19" s="55"/>
      <c r="CX19" s="54"/>
      <c r="CY19" s="54"/>
      <c r="CZ19" s="54"/>
      <c r="DA19" s="54"/>
      <c r="DB19" s="54"/>
      <c r="DC19" s="55"/>
      <c r="DD19" s="55"/>
      <c r="DE19" s="55"/>
      <c r="DF19" s="55"/>
      <c r="DG19" s="55"/>
      <c r="DH19" s="54"/>
      <c r="DI19" s="54"/>
      <c r="DJ19" s="54"/>
      <c r="DK19" s="54"/>
      <c r="DL19" s="54"/>
      <c r="DM19" s="55"/>
      <c r="DN19" s="55"/>
      <c r="DO19" s="55"/>
      <c r="DP19" s="55"/>
      <c r="DQ19" s="55"/>
      <c r="DR19" s="54"/>
      <c r="DS19" s="54"/>
      <c r="DT19" s="54"/>
      <c r="DU19" s="54"/>
      <c r="DV19" s="54"/>
      <c r="DW19" s="55"/>
      <c r="DX19" s="55"/>
      <c r="DY19" s="55"/>
      <c r="DZ19" s="55"/>
      <c r="EA19" s="55"/>
      <c r="EB19" s="54"/>
      <c r="EC19" s="54"/>
      <c r="ED19" s="54"/>
      <c r="EE19" s="54"/>
      <c r="EF19" s="54"/>
      <c r="EG19" s="55"/>
      <c r="EH19" s="55"/>
      <c r="EI19" s="55"/>
      <c r="EJ19" s="55"/>
      <c r="EK19" s="55"/>
      <c r="EL19" s="54"/>
      <c r="EM19" s="54"/>
      <c r="EN19" s="54"/>
      <c r="EO19" s="54"/>
      <c r="EP19" s="54"/>
      <c r="EQ19" s="55"/>
      <c r="ER19" s="55"/>
      <c r="ES19" s="55"/>
      <c r="ET19" s="55"/>
      <c r="EU19" s="55"/>
      <c r="EV19" s="54"/>
      <c r="EW19" s="54"/>
      <c r="EX19" s="54"/>
      <c r="EY19" s="54"/>
      <c r="EZ19" s="54"/>
      <c r="FA19" s="56" t="n">
        <f aca="false">COUNTIF(B19:EZ19,"A")</f>
        <v>0</v>
      </c>
      <c r="FB19" s="57" t="n">
        <f aca="false">COUNTIF(B19:EZ19,"O")</f>
        <v>0</v>
      </c>
      <c r="FC19" s="58" t="n">
        <f aca="false">COUNTIF(B19:EZ19,"D")</f>
        <v>0</v>
      </c>
      <c r="FD19" s="59" t="n">
        <f aca="false">COUNTIF(B19:EZ19,"N/A")</f>
        <v>0</v>
      </c>
      <c r="FE19" s="60" t="n">
        <f aca="false">IFERROR((FA19+FB19)/(FA19+FB19+FC19),0)</f>
        <v>0</v>
      </c>
    </row>
    <row r="20" customFormat="false" ht="18" hidden="false" customHeight="true" outlineLevel="0" collapsed="false">
      <c r="A20" s="53" t="str">
        <f aca="false">Roster!B20</f>
        <v>Resident 16</v>
      </c>
      <c r="B20" s="54"/>
      <c r="C20" s="54"/>
      <c r="D20" s="54"/>
      <c r="E20" s="54"/>
      <c r="F20" s="54"/>
      <c r="G20" s="55"/>
      <c r="H20" s="55"/>
      <c r="I20" s="55"/>
      <c r="J20" s="55"/>
      <c r="K20" s="55"/>
      <c r="L20" s="54"/>
      <c r="M20" s="54"/>
      <c r="N20" s="54"/>
      <c r="O20" s="54"/>
      <c r="P20" s="54"/>
      <c r="Q20" s="55"/>
      <c r="R20" s="55"/>
      <c r="S20" s="55"/>
      <c r="T20" s="55"/>
      <c r="U20" s="55"/>
      <c r="V20" s="54"/>
      <c r="W20" s="54"/>
      <c r="X20" s="54"/>
      <c r="Y20" s="54"/>
      <c r="Z20" s="54"/>
      <c r="AA20" s="55"/>
      <c r="AB20" s="55"/>
      <c r="AC20" s="55"/>
      <c r="AD20" s="55"/>
      <c r="AE20" s="55"/>
      <c r="AF20" s="54"/>
      <c r="AG20" s="54"/>
      <c r="AH20" s="54"/>
      <c r="AI20" s="54"/>
      <c r="AJ20" s="54"/>
      <c r="AK20" s="55"/>
      <c r="AL20" s="55"/>
      <c r="AM20" s="55"/>
      <c r="AN20" s="55"/>
      <c r="AO20" s="55"/>
      <c r="AP20" s="54"/>
      <c r="AQ20" s="54"/>
      <c r="AR20" s="54"/>
      <c r="AS20" s="54"/>
      <c r="AT20" s="54"/>
      <c r="AU20" s="55"/>
      <c r="AV20" s="55"/>
      <c r="AW20" s="55"/>
      <c r="AX20" s="55"/>
      <c r="AY20" s="55"/>
      <c r="AZ20" s="54"/>
      <c r="BA20" s="54"/>
      <c r="BB20" s="54"/>
      <c r="BC20" s="54"/>
      <c r="BD20" s="54"/>
      <c r="BE20" s="55"/>
      <c r="BF20" s="55"/>
      <c r="BG20" s="55"/>
      <c r="BH20" s="55"/>
      <c r="BI20" s="55"/>
      <c r="BJ20" s="54"/>
      <c r="BK20" s="54"/>
      <c r="BL20" s="54"/>
      <c r="BM20" s="54"/>
      <c r="BN20" s="54"/>
      <c r="BO20" s="55"/>
      <c r="BP20" s="55"/>
      <c r="BQ20" s="55"/>
      <c r="BR20" s="55"/>
      <c r="BS20" s="55"/>
      <c r="BT20" s="54"/>
      <c r="BU20" s="54"/>
      <c r="BV20" s="54"/>
      <c r="BW20" s="54"/>
      <c r="BX20" s="54"/>
      <c r="BY20" s="55"/>
      <c r="BZ20" s="55"/>
      <c r="CA20" s="55"/>
      <c r="CB20" s="55"/>
      <c r="CC20" s="55"/>
      <c r="CD20" s="54"/>
      <c r="CE20" s="54"/>
      <c r="CF20" s="54"/>
      <c r="CG20" s="54"/>
      <c r="CH20" s="54"/>
      <c r="CI20" s="55"/>
      <c r="CJ20" s="55"/>
      <c r="CK20" s="55"/>
      <c r="CL20" s="55"/>
      <c r="CM20" s="55"/>
      <c r="CN20" s="54"/>
      <c r="CO20" s="54"/>
      <c r="CP20" s="54"/>
      <c r="CQ20" s="54"/>
      <c r="CR20" s="54"/>
      <c r="CS20" s="55"/>
      <c r="CT20" s="55"/>
      <c r="CU20" s="55"/>
      <c r="CV20" s="55"/>
      <c r="CW20" s="55"/>
      <c r="CX20" s="54"/>
      <c r="CY20" s="54"/>
      <c r="CZ20" s="54"/>
      <c r="DA20" s="54"/>
      <c r="DB20" s="54"/>
      <c r="DC20" s="55"/>
      <c r="DD20" s="55"/>
      <c r="DE20" s="55"/>
      <c r="DF20" s="55"/>
      <c r="DG20" s="55"/>
      <c r="DH20" s="54"/>
      <c r="DI20" s="54"/>
      <c r="DJ20" s="54"/>
      <c r="DK20" s="54"/>
      <c r="DL20" s="54"/>
      <c r="DM20" s="55"/>
      <c r="DN20" s="55"/>
      <c r="DO20" s="55"/>
      <c r="DP20" s="55"/>
      <c r="DQ20" s="55"/>
      <c r="DR20" s="54"/>
      <c r="DS20" s="54"/>
      <c r="DT20" s="54"/>
      <c r="DU20" s="54"/>
      <c r="DV20" s="54"/>
      <c r="DW20" s="55"/>
      <c r="DX20" s="55"/>
      <c r="DY20" s="55"/>
      <c r="DZ20" s="55"/>
      <c r="EA20" s="55"/>
      <c r="EB20" s="54"/>
      <c r="EC20" s="54"/>
      <c r="ED20" s="54"/>
      <c r="EE20" s="54"/>
      <c r="EF20" s="54"/>
      <c r="EG20" s="55"/>
      <c r="EH20" s="55"/>
      <c r="EI20" s="55"/>
      <c r="EJ20" s="55"/>
      <c r="EK20" s="55"/>
      <c r="EL20" s="54"/>
      <c r="EM20" s="54"/>
      <c r="EN20" s="54"/>
      <c r="EO20" s="54"/>
      <c r="EP20" s="54"/>
      <c r="EQ20" s="55"/>
      <c r="ER20" s="55"/>
      <c r="ES20" s="55"/>
      <c r="ET20" s="55"/>
      <c r="EU20" s="55"/>
      <c r="EV20" s="54"/>
      <c r="EW20" s="54"/>
      <c r="EX20" s="54"/>
      <c r="EY20" s="54"/>
      <c r="EZ20" s="54"/>
      <c r="FA20" s="56" t="n">
        <f aca="false">COUNTIF(B20:EZ20,"A")</f>
        <v>0</v>
      </c>
      <c r="FB20" s="57" t="n">
        <f aca="false">COUNTIF(B20:EZ20,"O")</f>
        <v>0</v>
      </c>
      <c r="FC20" s="58" t="n">
        <f aca="false">COUNTIF(B20:EZ20,"D")</f>
        <v>0</v>
      </c>
      <c r="FD20" s="59" t="n">
        <f aca="false">COUNTIF(B20:EZ20,"N/A")</f>
        <v>0</v>
      </c>
      <c r="FE20" s="60" t="n">
        <f aca="false">IFERROR((FA20+FB20)/(FA20+FB20+FC20),0)</f>
        <v>0</v>
      </c>
    </row>
    <row r="21" customFormat="false" ht="18" hidden="false" customHeight="true" outlineLevel="0" collapsed="false">
      <c r="A21" s="53" t="str">
        <f aca="false">Roster!B21</f>
        <v>Resident 17</v>
      </c>
      <c r="B21" s="54"/>
      <c r="C21" s="54"/>
      <c r="D21" s="54"/>
      <c r="E21" s="54"/>
      <c r="F21" s="54"/>
      <c r="G21" s="55"/>
      <c r="H21" s="55"/>
      <c r="I21" s="55"/>
      <c r="J21" s="55"/>
      <c r="K21" s="55"/>
      <c r="L21" s="54"/>
      <c r="M21" s="54"/>
      <c r="N21" s="54"/>
      <c r="O21" s="54"/>
      <c r="P21" s="54"/>
      <c r="Q21" s="55"/>
      <c r="R21" s="55"/>
      <c r="S21" s="55"/>
      <c r="T21" s="55"/>
      <c r="U21" s="55"/>
      <c r="V21" s="54"/>
      <c r="W21" s="54"/>
      <c r="X21" s="54"/>
      <c r="Y21" s="54"/>
      <c r="Z21" s="54"/>
      <c r="AA21" s="55"/>
      <c r="AB21" s="55"/>
      <c r="AC21" s="55"/>
      <c r="AD21" s="55"/>
      <c r="AE21" s="55"/>
      <c r="AF21" s="54"/>
      <c r="AG21" s="54"/>
      <c r="AH21" s="54"/>
      <c r="AI21" s="54"/>
      <c r="AJ21" s="54"/>
      <c r="AK21" s="55"/>
      <c r="AL21" s="55"/>
      <c r="AM21" s="55"/>
      <c r="AN21" s="55"/>
      <c r="AO21" s="55"/>
      <c r="AP21" s="54"/>
      <c r="AQ21" s="54"/>
      <c r="AR21" s="54"/>
      <c r="AS21" s="54"/>
      <c r="AT21" s="54"/>
      <c r="AU21" s="55"/>
      <c r="AV21" s="55"/>
      <c r="AW21" s="55"/>
      <c r="AX21" s="55"/>
      <c r="AY21" s="55"/>
      <c r="AZ21" s="54"/>
      <c r="BA21" s="54"/>
      <c r="BB21" s="54"/>
      <c r="BC21" s="54"/>
      <c r="BD21" s="54"/>
      <c r="BE21" s="55"/>
      <c r="BF21" s="55"/>
      <c r="BG21" s="55"/>
      <c r="BH21" s="55"/>
      <c r="BI21" s="55"/>
      <c r="BJ21" s="54"/>
      <c r="BK21" s="54"/>
      <c r="BL21" s="54"/>
      <c r="BM21" s="54"/>
      <c r="BN21" s="54"/>
      <c r="BO21" s="55"/>
      <c r="BP21" s="55"/>
      <c r="BQ21" s="55"/>
      <c r="BR21" s="55"/>
      <c r="BS21" s="55"/>
      <c r="BT21" s="54"/>
      <c r="BU21" s="54"/>
      <c r="BV21" s="54"/>
      <c r="BW21" s="54"/>
      <c r="BX21" s="54"/>
      <c r="BY21" s="55"/>
      <c r="BZ21" s="55"/>
      <c r="CA21" s="55"/>
      <c r="CB21" s="55"/>
      <c r="CC21" s="55"/>
      <c r="CD21" s="54"/>
      <c r="CE21" s="54"/>
      <c r="CF21" s="54"/>
      <c r="CG21" s="54"/>
      <c r="CH21" s="54"/>
      <c r="CI21" s="55"/>
      <c r="CJ21" s="55"/>
      <c r="CK21" s="55"/>
      <c r="CL21" s="55"/>
      <c r="CM21" s="55"/>
      <c r="CN21" s="54"/>
      <c r="CO21" s="54"/>
      <c r="CP21" s="54"/>
      <c r="CQ21" s="54"/>
      <c r="CR21" s="54"/>
      <c r="CS21" s="55"/>
      <c r="CT21" s="55"/>
      <c r="CU21" s="55"/>
      <c r="CV21" s="55"/>
      <c r="CW21" s="55"/>
      <c r="CX21" s="54"/>
      <c r="CY21" s="54"/>
      <c r="CZ21" s="54"/>
      <c r="DA21" s="54"/>
      <c r="DB21" s="54"/>
      <c r="DC21" s="55"/>
      <c r="DD21" s="55"/>
      <c r="DE21" s="55"/>
      <c r="DF21" s="55"/>
      <c r="DG21" s="55"/>
      <c r="DH21" s="54"/>
      <c r="DI21" s="54"/>
      <c r="DJ21" s="54"/>
      <c r="DK21" s="54"/>
      <c r="DL21" s="54"/>
      <c r="DM21" s="55"/>
      <c r="DN21" s="55"/>
      <c r="DO21" s="55"/>
      <c r="DP21" s="55"/>
      <c r="DQ21" s="55"/>
      <c r="DR21" s="54"/>
      <c r="DS21" s="54"/>
      <c r="DT21" s="54"/>
      <c r="DU21" s="54"/>
      <c r="DV21" s="54"/>
      <c r="DW21" s="55"/>
      <c r="DX21" s="55"/>
      <c r="DY21" s="55"/>
      <c r="DZ21" s="55"/>
      <c r="EA21" s="55"/>
      <c r="EB21" s="54"/>
      <c r="EC21" s="54"/>
      <c r="ED21" s="54"/>
      <c r="EE21" s="54"/>
      <c r="EF21" s="54"/>
      <c r="EG21" s="55"/>
      <c r="EH21" s="55"/>
      <c r="EI21" s="55"/>
      <c r="EJ21" s="55"/>
      <c r="EK21" s="55"/>
      <c r="EL21" s="54"/>
      <c r="EM21" s="54"/>
      <c r="EN21" s="54"/>
      <c r="EO21" s="54"/>
      <c r="EP21" s="54"/>
      <c r="EQ21" s="55"/>
      <c r="ER21" s="55"/>
      <c r="ES21" s="55"/>
      <c r="ET21" s="55"/>
      <c r="EU21" s="55"/>
      <c r="EV21" s="54"/>
      <c r="EW21" s="54"/>
      <c r="EX21" s="54"/>
      <c r="EY21" s="54"/>
      <c r="EZ21" s="54"/>
      <c r="FA21" s="56" t="n">
        <f aca="false">COUNTIF(B21:EZ21,"A")</f>
        <v>0</v>
      </c>
      <c r="FB21" s="57" t="n">
        <f aca="false">COUNTIF(B21:EZ21,"O")</f>
        <v>0</v>
      </c>
      <c r="FC21" s="58" t="n">
        <f aca="false">COUNTIF(B21:EZ21,"D")</f>
        <v>0</v>
      </c>
      <c r="FD21" s="59" t="n">
        <f aca="false">COUNTIF(B21:EZ21,"N/A")</f>
        <v>0</v>
      </c>
      <c r="FE21" s="60" t="n">
        <f aca="false">IFERROR((FA21+FB21)/(FA21+FB21+FC21),0)</f>
        <v>0</v>
      </c>
    </row>
    <row r="22" customFormat="false" ht="18" hidden="false" customHeight="true" outlineLevel="0" collapsed="false">
      <c r="A22" s="53" t="str">
        <f aca="false">Roster!B22</f>
        <v>Resident 18</v>
      </c>
      <c r="B22" s="54"/>
      <c r="C22" s="54"/>
      <c r="D22" s="54"/>
      <c r="E22" s="54"/>
      <c r="F22" s="54"/>
      <c r="G22" s="55"/>
      <c r="H22" s="55"/>
      <c r="I22" s="55"/>
      <c r="J22" s="55"/>
      <c r="K22" s="55"/>
      <c r="L22" s="54"/>
      <c r="M22" s="54"/>
      <c r="N22" s="54"/>
      <c r="O22" s="54"/>
      <c r="P22" s="54"/>
      <c r="Q22" s="55"/>
      <c r="R22" s="55"/>
      <c r="S22" s="55"/>
      <c r="T22" s="55"/>
      <c r="U22" s="55"/>
      <c r="V22" s="54"/>
      <c r="W22" s="54"/>
      <c r="X22" s="54"/>
      <c r="Y22" s="54"/>
      <c r="Z22" s="54"/>
      <c r="AA22" s="55"/>
      <c r="AB22" s="55"/>
      <c r="AC22" s="55"/>
      <c r="AD22" s="55"/>
      <c r="AE22" s="55"/>
      <c r="AF22" s="54"/>
      <c r="AG22" s="54"/>
      <c r="AH22" s="54"/>
      <c r="AI22" s="54"/>
      <c r="AJ22" s="54"/>
      <c r="AK22" s="55"/>
      <c r="AL22" s="55"/>
      <c r="AM22" s="55"/>
      <c r="AN22" s="55"/>
      <c r="AO22" s="55"/>
      <c r="AP22" s="54"/>
      <c r="AQ22" s="54"/>
      <c r="AR22" s="54"/>
      <c r="AS22" s="54"/>
      <c r="AT22" s="54"/>
      <c r="AU22" s="55"/>
      <c r="AV22" s="55"/>
      <c r="AW22" s="55"/>
      <c r="AX22" s="55"/>
      <c r="AY22" s="55"/>
      <c r="AZ22" s="54"/>
      <c r="BA22" s="54"/>
      <c r="BB22" s="54"/>
      <c r="BC22" s="54"/>
      <c r="BD22" s="54"/>
      <c r="BE22" s="55"/>
      <c r="BF22" s="55"/>
      <c r="BG22" s="55"/>
      <c r="BH22" s="55"/>
      <c r="BI22" s="55"/>
      <c r="BJ22" s="54"/>
      <c r="BK22" s="54"/>
      <c r="BL22" s="54"/>
      <c r="BM22" s="54"/>
      <c r="BN22" s="54"/>
      <c r="BO22" s="55"/>
      <c r="BP22" s="55"/>
      <c r="BQ22" s="55"/>
      <c r="BR22" s="55"/>
      <c r="BS22" s="55"/>
      <c r="BT22" s="54"/>
      <c r="BU22" s="54"/>
      <c r="BV22" s="54"/>
      <c r="BW22" s="54"/>
      <c r="BX22" s="54"/>
      <c r="BY22" s="55"/>
      <c r="BZ22" s="55"/>
      <c r="CA22" s="55"/>
      <c r="CB22" s="55"/>
      <c r="CC22" s="55"/>
      <c r="CD22" s="54"/>
      <c r="CE22" s="54"/>
      <c r="CF22" s="54"/>
      <c r="CG22" s="54"/>
      <c r="CH22" s="54"/>
      <c r="CI22" s="55"/>
      <c r="CJ22" s="55"/>
      <c r="CK22" s="55"/>
      <c r="CL22" s="55"/>
      <c r="CM22" s="55"/>
      <c r="CN22" s="54"/>
      <c r="CO22" s="54"/>
      <c r="CP22" s="54"/>
      <c r="CQ22" s="54"/>
      <c r="CR22" s="54"/>
      <c r="CS22" s="55"/>
      <c r="CT22" s="55"/>
      <c r="CU22" s="55"/>
      <c r="CV22" s="55"/>
      <c r="CW22" s="55"/>
      <c r="CX22" s="54"/>
      <c r="CY22" s="54"/>
      <c r="CZ22" s="54"/>
      <c r="DA22" s="54"/>
      <c r="DB22" s="54"/>
      <c r="DC22" s="55"/>
      <c r="DD22" s="55"/>
      <c r="DE22" s="55"/>
      <c r="DF22" s="55"/>
      <c r="DG22" s="55"/>
      <c r="DH22" s="54"/>
      <c r="DI22" s="54"/>
      <c r="DJ22" s="54"/>
      <c r="DK22" s="54"/>
      <c r="DL22" s="54"/>
      <c r="DM22" s="55"/>
      <c r="DN22" s="55"/>
      <c r="DO22" s="55"/>
      <c r="DP22" s="55"/>
      <c r="DQ22" s="55"/>
      <c r="DR22" s="54"/>
      <c r="DS22" s="54"/>
      <c r="DT22" s="54"/>
      <c r="DU22" s="54"/>
      <c r="DV22" s="54"/>
      <c r="DW22" s="55"/>
      <c r="DX22" s="55"/>
      <c r="DY22" s="55"/>
      <c r="DZ22" s="55"/>
      <c r="EA22" s="55"/>
      <c r="EB22" s="54"/>
      <c r="EC22" s="54"/>
      <c r="ED22" s="54"/>
      <c r="EE22" s="54"/>
      <c r="EF22" s="54"/>
      <c r="EG22" s="55"/>
      <c r="EH22" s="55"/>
      <c r="EI22" s="55"/>
      <c r="EJ22" s="55"/>
      <c r="EK22" s="55"/>
      <c r="EL22" s="54"/>
      <c r="EM22" s="54"/>
      <c r="EN22" s="54"/>
      <c r="EO22" s="54"/>
      <c r="EP22" s="54"/>
      <c r="EQ22" s="55"/>
      <c r="ER22" s="55"/>
      <c r="ES22" s="55"/>
      <c r="ET22" s="55"/>
      <c r="EU22" s="55"/>
      <c r="EV22" s="54"/>
      <c r="EW22" s="54"/>
      <c r="EX22" s="54"/>
      <c r="EY22" s="54"/>
      <c r="EZ22" s="54"/>
      <c r="FA22" s="56" t="n">
        <f aca="false">COUNTIF(B22:EZ22,"A")</f>
        <v>0</v>
      </c>
      <c r="FB22" s="57" t="n">
        <f aca="false">COUNTIF(B22:EZ22,"O")</f>
        <v>0</v>
      </c>
      <c r="FC22" s="58" t="n">
        <f aca="false">COUNTIF(B22:EZ22,"D")</f>
        <v>0</v>
      </c>
      <c r="FD22" s="59" t="n">
        <f aca="false">COUNTIF(B22:EZ22,"N/A")</f>
        <v>0</v>
      </c>
      <c r="FE22" s="60" t="n">
        <f aca="false">IFERROR((FA22+FB22)/(FA22+FB22+FC22),0)</f>
        <v>0</v>
      </c>
    </row>
    <row r="23" customFormat="false" ht="18" hidden="false" customHeight="true" outlineLevel="0" collapsed="false">
      <c r="A23" s="53" t="str">
        <f aca="false">Roster!B23</f>
        <v>Resident 19</v>
      </c>
      <c r="B23" s="54"/>
      <c r="C23" s="54"/>
      <c r="D23" s="54"/>
      <c r="E23" s="54"/>
      <c r="F23" s="54"/>
      <c r="G23" s="55"/>
      <c r="H23" s="55"/>
      <c r="I23" s="55"/>
      <c r="J23" s="55"/>
      <c r="K23" s="55"/>
      <c r="L23" s="54"/>
      <c r="M23" s="54"/>
      <c r="N23" s="54"/>
      <c r="O23" s="54"/>
      <c r="P23" s="54"/>
      <c r="Q23" s="55"/>
      <c r="R23" s="55"/>
      <c r="S23" s="55"/>
      <c r="T23" s="55"/>
      <c r="U23" s="55"/>
      <c r="V23" s="54"/>
      <c r="W23" s="54"/>
      <c r="X23" s="54"/>
      <c r="Y23" s="54"/>
      <c r="Z23" s="54"/>
      <c r="AA23" s="55"/>
      <c r="AB23" s="55"/>
      <c r="AC23" s="55"/>
      <c r="AD23" s="55"/>
      <c r="AE23" s="55"/>
      <c r="AF23" s="54"/>
      <c r="AG23" s="54"/>
      <c r="AH23" s="54"/>
      <c r="AI23" s="54"/>
      <c r="AJ23" s="54"/>
      <c r="AK23" s="55"/>
      <c r="AL23" s="55"/>
      <c r="AM23" s="55"/>
      <c r="AN23" s="55"/>
      <c r="AO23" s="55"/>
      <c r="AP23" s="54"/>
      <c r="AQ23" s="54"/>
      <c r="AR23" s="54"/>
      <c r="AS23" s="54"/>
      <c r="AT23" s="54"/>
      <c r="AU23" s="55"/>
      <c r="AV23" s="55"/>
      <c r="AW23" s="55"/>
      <c r="AX23" s="55"/>
      <c r="AY23" s="55"/>
      <c r="AZ23" s="54"/>
      <c r="BA23" s="54"/>
      <c r="BB23" s="54"/>
      <c r="BC23" s="54"/>
      <c r="BD23" s="54"/>
      <c r="BE23" s="55"/>
      <c r="BF23" s="55"/>
      <c r="BG23" s="55"/>
      <c r="BH23" s="55"/>
      <c r="BI23" s="55"/>
      <c r="BJ23" s="54"/>
      <c r="BK23" s="54"/>
      <c r="BL23" s="54"/>
      <c r="BM23" s="54"/>
      <c r="BN23" s="54"/>
      <c r="BO23" s="55"/>
      <c r="BP23" s="55"/>
      <c r="BQ23" s="55"/>
      <c r="BR23" s="55"/>
      <c r="BS23" s="55"/>
      <c r="BT23" s="54"/>
      <c r="BU23" s="54"/>
      <c r="BV23" s="54"/>
      <c r="BW23" s="54"/>
      <c r="BX23" s="54"/>
      <c r="BY23" s="55"/>
      <c r="BZ23" s="55"/>
      <c r="CA23" s="55"/>
      <c r="CB23" s="55"/>
      <c r="CC23" s="55"/>
      <c r="CD23" s="54"/>
      <c r="CE23" s="54"/>
      <c r="CF23" s="54"/>
      <c r="CG23" s="54"/>
      <c r="CH23" s="54"/>
      <c r="CI23" s="55"/>
      <c r="CJ23" s="55"/>
      <c r="CK23" s="55"/>
      <c r="CL23" s="55"/>
      <c r="CM23" s="55"/>
      <c r="CN23" s="54"/>
      <c r="CO23" s="54"/>
      <c r="CP23" s="54"/>
      <c r="CQ23" s="54"/>
      <c r="CR23" s="54"/>
      <c r="CS23" s="55"/>
      <c r="CT23" s="55"/>
      <c r="CU23" s="55"/>
      <c r="CV23" s="55"/>
      <c r="CW23" s="55"/>
      <c r="CX23" s="54"/>
      <c r="CY23" s="54"/>
      <c r="CZ23" s="54"/>
      <c r="DA23" s="54"/>
      <c r="DB23" s="54"/>
      <c r="DC23" s="55"/>
      <c r="DD23" s="55"/>
      <c r="DE23" s="55"/>
      <c r="DF23" s="55"/>
      <c r="DG23" s="55"/>
      <c r="DH23" s="54"/>
      <c r="DI23" s="54"/>
      <c r="DJ23" s="54"/>
      <c r="DK23" s="54"/>
      <c r="DL23" s="54"/>
      <c r="DM23" s="55"/>
      <c r="DN23" s="55"/>
      <c r="DO23" s="55"/>
      <c r="DP23" s="55"/>
      <c r="DQ23" s="55"/>
      <c r="DR23" s="54"/>
      <c r="DS23" s="54"/>
      <c r="DT23" s="54"/>
      <c r="DU23" s="54"/>
      <c r="DV23" s="54"/>
      <c r="DW23" s="55"/>
      <c r="DX23" s="55"/>
      <c r="DY23" s="55"/>
      <c r="DZ23" s="55"/>
      <c r="EA23" s="55"/>
      <c r="EB23" s="54"/>
      <c r="EC23" s="54"/>
      <c r="ED23" s="54"/>
      <c r="EE23" s="54"/>
      <c r="EF23" s="54"/>
      <c r="EG23" s="55"/>
      <c r="EH23" s="55"/>
      <c r="EI23" s="55"/>
      <c r="EJ23" s="55"/>
      <c r="EK23" s="55"/>
      <c r="EL23" s="54"/>
      <c r="EM23" s="54"/>
      <c r="EN23" s="54"/>
      <c r="EO23" s="54"/>
      <c r="EP23" s="54"/>
      <c r="EQ23" s="55"/>
      <c r="ER23" s="55"/>
      <c r="ES23" s="55"/>
      <c r="ET23" s="55"/>
      <c r="EU23" s="55"/>
      <c r="EV23" s="54"/>
      <c r="EW23" s="54"/>
      <c r="EX23" s="54"/>
      <c r="EY23" s="54"/>
      <c r="EZ23" s="54"/>
      <c r="FA23" s="56" t="n">
        <f aca="false">COUNTIF(B23:EZ23,"A")</f>
        <v>0</v>
      </c>
      <c r="FB23" s="57" t="n">
        <f aca="false">COUNTIF(B23:EZ23,"O")</f>
        <v>0</v>
      </c>
      <c r="FC23" s="58" t="n">
        <f aca="false">COUNTIF(B23:EZ23,"D")</f>
        <v>0</v>
      </c>
      <c r="FD23" s="59" t="n">
        <f aca="false">COUNTIF(B23:EZ23,"N/A")</f>
        <v>0</v>
      </c>
      <c r="FE23" s="60" t="n">
        <f aca="false">IFERROR((FA23+FB23)/(FA23+FB23+FC23),0)</f>
        <v>0</v>
      </c>
    </row>
    <row r="24" customFormat="false" ht="18" hidden="false" customHeight="true" outlineLevel="0" collapsed="false">
      <c r="A24" s="53" t="str">
        <f aca="false">Roster!B24</f>
        <v>Resident 20</v>
      </c>
      <c r="B24" s="54"/>
      <c r="C24" s="54"/>
      <c r="D24" s="54"/>
      <c r="E24" s="54"/>
      <c r="F24" s="54"/>
      <c r="G24" s="55"/>
      <c r="H24" s="55"/>
      <c r="I24" s="55"/>
      <c r="J24" s="55"/>
      <c r="K24" s="55"/>
      <c r="L24" s="54"/>
      <c r="M24" s="54"/>
      <c r="N24" s="54"/>
      <c r="O24" s="54"/>
      <c r="P24" s="54"/>
      <c r="Q24" s="55"/>
      <c r="R24" s="55"/>
      <c r="S24" s="55"/>
      <c r="T24" s="55"/>
      <c r="U24" s="55"/>
      <c r="V24" s="54"/>
      <c r="W24" s="54"/>
      <c r="X24" s="54"/>
      <c r="Y24" s="54"/>
      <c r="Z24" s="54"/>
      <c r="AA24" s="55"/>
      <c r="AB24" s="55"/>
      <c r="AC24" s="55"/>
      <c r="AD24" s="55"/>
      <c r="AE24" s="55"/>
      <c r="AF24" s="54"/>
      <c r="AG24" s="54"/>
      <c r="AH24" s="54"/>
      <c r="AI24" s="54"/>
      <c r="AJ24" s="54"/>
      <c r="AK24" s="55"/>
      <c r="AL24" s="55"/>
      <c r="AM24" s="55"/>
      <c r="AN24" s="55"/>
      <c r="AO24" s="55"/>
      <c r="AP24" s="54"/>
      <c r="AQ24" s="54"/>
      <c r="AR24" s="54"/>
      <c r="AS24" s="54"/>
      <c r="AT24" s="54"/>
      <c r="AU24" s="55"/>
      <c r="AV24" s="55"/>
      <c r="AW24" s="55"/>
      <c r="AX24" s="55"/>
      <c r="AY24" s="55"/>
      <c r="AZ24" s="54"/>
      <c r="BA24" s="54"/>
      <c r="BB24" s="54"/>
      <c r="BC24" s="54"/>
      <c r="BD24" s="54"/>
      <c r="BE24" s="55"/>
      <c r="BF24" s="55"/>
      <c r="BG24" s="55"/>
      <c r="BH24" s="55"/>
      <c r="BI24" s="55"/>
      <c r="BJ24" s="54"/>
      <c r="BK24" s="54"/>
      <c r="BL24" s="54"/>
      <c r="BM24" s="54"/>
      <c r="BN24" s="54"/>
      <c r="BO24" s="55"/>
      <c r="BP24" s="55"/>
      <c r="BQ24" s="55"/>
      <c r="BR24" s="55"/>
      <c r="BS24" s="55"/>
      <c r="BT24" s="54"/>
      <c r="BU24" s="54"/>
      <c r="BV24" s="54"/>
      <c r="BW24" s="54"/>
      <c r="BX24" s="54"/>
      <c r="BY24" s="55"/>
      <c r="BZ24" s="55"/>
      <c r="CA24" s="55"/>
      <c r="CB24" s="55"/>
      <c r="CC24" s="55"/>
      <c r="CD24" s="54"/>
      <c r="CE24" s="54"/>
      <c r="CF24" s="54"/>
      <c r="CG24" s="54"/>
      <c r="CH24" s="54"/>
      <c r="CI24" s="55"/>
      <c r="CJ24" s="55"/>
      <c r="CK24" s="55"/>
      <c r="CL24" s="55"/>
      <c r="CM24" s="55"/>
      <c r="CN24" s="54"/>
      <c r="CO24" s="54"/>
      <c r="CP24" s="54"/>
      <c r="CQ24" s="54"/>
      <c r="CR24" s="54"/>
      <c r="CS24" s="55"/>
      <c r="CT24" s="55"/>
      <c r="CU24" s="55"/>
      <c r="CV24" s="55"/>
      <c r="CW24" s="55"/>
      <c r="CX24" s="54"/>
      <c r="CY24" s="54"/>
      <c r="CZ24" s="54"/>
      <c r="DA24" s="54"/>
      <c r="DB24" s="54"/>
      <c r="DC24" s="55"/>
      <c r="DD24" s="55"/>
      <c r="DE24" s="55"/>
      <c r="DF24" s="55"/>
      <c r="DG24" s="55"/>
      <c r="DH24" s="54"/>
      <c r="DI24" s="54"/>
      <c r="DJ24" s="54"/>
      <c r="DK24" s="54"/>
      <c r="DL24" s="54"/>
      <c r="DM24" s="55"/>
      <c r="DN24" s="55"/>
      <c r="DO24" s="55"/>
      <c r="DP24" s="55"/>
      <c r="DQ24" s="55"/>
      <c r="DR24" s="54"/>
      <c r="DS24" s="54"/>
      <c r="DT24" s="54"/>
      <c r="DU24" s="54"/>
      <c r="DV24" s="54"/>
      <c r="DW24" s="55"/>
      <c r="DX24" s="55"/>
      <c r="DY24" s="55"/>
      <c r="DZ24" s="55"/>
      <c r="EA24" s="55"/>
      <c r="EB24" s="54"/>
      <c r="EC24" s="54"/>
      <c r="ED24" s="54"/>
      <c r="EE24" s="54"/>
      <c r="EF24" s="54"/>
      <c r="EG24" s="55"/>
      <c r="EH24" s="55"/>
      <c r="EI24" s="55"/>
      <c r="EJ24" s="55"/>
      <c r="EK24" s="55"/>
      <c r="EL24" s="54"/>
      <c r="EM24" s="54"/>
      <c r="EN24" s="54"/>
      <c r="EO24" s="54"/>
      <c r="EP24" s="54"/>
      <c r="EQ24" s="55"/>
      <c r="ER24" s="55"/>
      <c r="ES24" s="55"/>
      <c r="ET24" s="55"/>
      <c r="EU24" s="55"/>
      <c r="EV24" s="54"/>
      <c r="EW24" s="54"/>
      <c r="EX24" s="54"/>
      <c r="EY24" s="54"/>
      <c r="EZ24" s="54"/>
      <c r="FA24" s="56" t="n">
        <f aca="false">COUNTIF(B24:EZ24,"A")</f>
        <v>0</v>
      </c>
      <c r="FB24" s="57" t="n">
        <f aca="false">COUNTIF(B24:EZ24,"O")</f>
        <v>0</v>
      </c>
      <c r="FC24" s="58" t="n">
        <f aca="false">COUNTIF(B24:EZ24,"D")</f>
        <v>0</v>
      </c>
      <c r="FD24" s="59" t="n">
        <f aca="false">COUNTIF(B24:EZ24,"N/A")</f>
        <v>0</v>
      </c>
      <c r="FE24" s="60" t="n">
        <f aca="false">IFERROR((FA24+FB24)/(FA24+FB24+FC24),0)</f>
        <v>0</v>
      </c>
    </row>
    <row r="25" customFormat="false" ht="18" hidden="false" customHeight="true" outlineLevel="0" collapsed="false">
      <c r="A25" s="53" t="n">
        <f aca="false">Roster!B25</f>
        <v>0</v>
      </c>
      <c r="B25" s="54"/>
      <c r="C25" s="54"/>
      <c r="D25" s="54"/>
      <c r="E25" s="54"/>
      <c r="F25" s="54"/>
      <c r="G25" s="55"/>
      <c r="H25" s="55"/>
      <c r="I25" s="55"/>
      <c r="J25" s="55"/>
      <c r="K25" s="55"/>
      <c r="L25" s="54"/>
      <c r="M25" s="54"/>
      <c r="N25" s="54"/>
      <c r="O25" s="54"/>
      <c r="P25" s="54"/>
      <c r="Q25" s="55"/>
      <c r="R25" s="55"/>
      <c r="S25" s="55"/>
      <c r="T25" s="55"/>
      <c r="U25" s="55"/>
      <c r="V25" s="54"/>
      <c r="W25" s="54"/>
      <c r="X25" s="54"/>
      <c r="Y25" s="54"/>
      <c r="Z25" s="54"/>
      <c r="AA25" s="55"/>
      <c r="AB25" s="55"/>
      <c r="AC25" s="55"/>
      <c r="AD25" s="55"/>
      <c r="AE25" s="55"/>
      <c r="AF25" s="54"/>
      <c r="AG25" s="54"/>
      <c r="AH25" s="54"/>
      <c r="AI25" s="54"/>
      <c r="AJ25" s="54"/>
      <c r="AK25" s="55"/>
      <c r="AL25" s="55"/>
      <c r="AM25" s="55"/>
      <c r="AN25" s="55"/>
      <c r="AO25" s="55"/>
      <c r="AP25" s="54"/>
      <c r="AQ25" s="54"/>
      <c r="AR25" s="54"/>
      <c r="AS25" s="54"/>
      <c r="AT25" s="54"/>
      <c r="AU25" s="55"/>
      <c r="AV25" s="55"/>
      <c r="AW25" s="55"/>
      <c r="AX25" s="55"/>
      <c r="AY25" s="55"/>
      <c r="AZ25" s="54"/>
      <c r="BA25" s="54"/>
      <c r="BB25" s="54"/>
      <c r="BC25" s="54"/>
      <c r="BD25" s="54"/>
      <c r="BE25" s="55"/>
      <c r="BF25" s="55"/>
      <c r="BG25" s="55"/>
      <c r="BH25" s="55"/>
      <c r="BI25" s="55"/>
      <c r="BJ25" s="54"/>
      <c r="BK25" s="54"/>
      <c r="BL25" s="54"/>
      <c r="BM25" s="54"/>
      <c r="BN25" s="54"/>
      <c r="BO25" s="55"/>
      <c r="BP25" s="55"/>
      <c r="BQ25" s="55"/>
      <c r="BR25" s="55"/>
      <c r="BS25" s="55"/>
      <c r="BT25" s="54"/>
      <c r="BU25" s="54"/>
      <c r="BV25" s="54"/>
      <c r="BW25" s="54"/>
      <c r="BX25" s="54"/>
      <c r="BY25" s="55"/>
      <c r="BZ25" s="55"/>
      <c r="CA25" s="55"/>
      <c r="CB25" s="55"/>
      <c r="CC25" s="55"/>
      <c r="CD25" s="54"/>
      <c r="CE25" s="54"/>
      <c r="CF25" s="54"/>
      <c r="CG25" s="54"/>
      <c r="CH25" s="54"/>
      <c r="CI25" s="55"/>
      <c r="CJ25" s="55"/>
      <c r="CK25" s="55"/>
      <c r="CL25" s="55"/>
      <c r="CM25" s="55"/>
      <c r="CN25" s="54"/>
      <c r="CO25" s="54"/>
      <c r="CP25" s="54"/>
      <c r="CQ25" s="54"/>
      <c r="CR25" s="54"/>
      <c r="CS25" s="55"/>
      <c r="CT25" s="55"/>
      <c r="CU25" s="55"/>
      <c r="CV25" s="55"/>
      <c r="CW25" s="55"/>
      <c r="CX25" s="54"/>
      <c r="CY25" s="54"/>
      <c r="CZ25" s="54"/>
      <c r="DA25" s="54"/>
      <c r="DB25" s="54"/>
      <c r="DC25" s="55"/>
      <c r="DD25" s="55"/>
      <c r="DE25" s="55"/>
      <c r="DF25" s="55"/>
      <c r="DG25" s="55"/>
      <c r="DH25" s="54"/>
      <c r="DI25" s="54"/>
      <c r="DJ25" s="54"/>
      <c r="DK25" s="54"/>
      <c r="DL25" s="54"/>
      <c r="DM25" s="55"/>
      <c r="DN25" s="55"/>
      <c r="DO25" s="55"/>
      <c r="DP25" s="55"/>
      <c r="DQ25" s="55"/>
      <c r="DR25" s="54"/>
      <c r="DS25" s="54"/>
      <c r="DT25" s="54"/>
      <c r="DU25" s="54"/>
      <c r="DV25" s="54"/>
      <c r="DW25" s="55"/>
      <c r="DX25" s="55"/>
      <c r="DY25" s="55"/>
      <c r="DZ25" s="55"/>
      <c r="EA25" s="55"/>
      <c r="EB25" s="54"/>
      <c r="EC25" s="54"/>
      <c r="ED25" s="54"/>
      <c r="EE25" s="54"/>
      <c r="EF25" s="54"/>
      <c r="EG25" s="55"/>
      <c r="EH25" s="55"/>
      <c r="EI25" s="55"/>
      <c r="EJ25" s="55"/>
      <c r="EK25" s="55"/>
      <c r="EL25" s="54"/>
      <c r="EM25" s="54"/>
      <c r="EN25" s="54"/>
      <c r="EO25" s="54"/>
      <c r="EP25" s="54"/>
      <c r="EQ25" s="55"/>
      <c r="ER25" s="55"/>
      <c r="ES25" s="55"/>
      <c r="ET25" s="55"/>
      <c r="EU25" s="55"/>
      <c r="EV25" s="54"/>
      <c r="EW25" s="54"/>
      <c r="EX25" s="54"/>
      <c r="EY25" s="54"/>
      <c r="EZ25" s="54"/>
      <c r="FA25" s="56" t="n">
        <f aca="false">COUNTIF(B25:EZ25,"A")</f>
        <v>0</v>
      </c>
      <c r="FB25" s="57" t="n">
        <f aca="false">COUNTIF(B25:EZ25,"O")</f>
        <v>0</v>
      </c>
      <c r="FC25" s="58" t="n">
        <f aca="false">COUNTIF(B25:EZ25,"D")</f>
        <v>0</v>
      </c>
      <c r="FD25" s="59" t="n">
        <f aca="false">COUNTIF(B25:EZ25,"N/A")</f>
        <v>0</v>
      </c>
      <c r="FE25" s="60" t="n">
        <f aca="false">IFERROR((FA25+FB25)/(FA25+FB25+FC25),0)</f>
        <v>0</v>
      </c>
    </row>
    <row r="26" customFormat="false" ht="18" hidden="false" customHeight="true" outlineLevel="0" collapsed="false">
      <c r="A26" s="53" t="n">
        <f aca="false">Roster!B26</f>
        <v>0</v>
      </c>
      <c r="B26" s="54"/>
      <c r="C26" s="54"/>
      <c r="D26" s="54"/>
      <c r="E26" s="54"/>
      <c r="F26" s="54"/>
      <c r="G26" s="55"/>
      <c r="H26" s="55"/>
      <c r="I26" s="55"/>
      <c r="J26" s="55"/>
      <c r="K26" s="55"/>
      <c r="L26" s="54"/>
      <c r="M26" s="54"/>
      <c r="N26" s="54"/>
      <c r="O26" s="54"/>
      <c r="P26" s="54"/>
      <c r="Q26" s="55"/>
      <c r="R26" s="55"/>
      <c r="S26" s="55"/>
      <c r="T26" s="55"/>
      <c r="U26" s="55"/>
      <c r="V26" s="54"/>
      <c r="W26" s="54"/>
      <c r="X26" s="54"/>
      <c r="Y26" s="54"/>
      <c r="Z26" s="54"/>
      <c r="AA26" s="55"/>
      <c r="AB26" s="55"/>
      <c r="AC26" s="55"/>
      <c r="AD26" s="55"/>
      <c r="AE26" s="55"/>
      <c r="AF26" s="54"/>
      <c r="AG26" s="54"/>
      <c r="AH26" s="54"/>
      <c r="AI26" s="54"/>
      <c r="AJ26" s="54"/>
      <c r="AK26" s="55"/>
      <c r="AL26" s="55"/>
      <c r="AM26" s="55"/>
      <c r="AN26" s="55"/>
      <c r="AO26" s="55"/>
      <c r="AP26" s="54"/>
      <c r="AQ26" s="54"/>
      <c r="AR26" s="54"/>
      <c r="AS26" s="54"/>
      <c r="AT26" s="54"/>
      <c r="AU26" s="55"/>
      <c r="AV26" s="55"/>
      <c r="AW26" s="55"/>
      <c r="AX26" s="55"/>
      <c r="AY26" s="55"/>
      <c r="AZ26" s="54"/>
      <c r="BA26" s="54"/>
      <c r="BB26" s="54"/>
      <c r="BC26" s="54"/>
      <c r="BD26" s="54"/>
      <c r="BE26" s="55"/>
      <c r="BF26" s="55"/>
      <c r="BG26" s="55"/>
      <c r="BH26" s="55"/>
      <c r="BI26" s="55"/>
      <c r="BJ26" s="54"/>
      <c r="BK26" s="54"/>
      <c r="BL26" s="54"/>
      <c r="BM26" s="54"/>
      <c r="BN26" s="54"/>
      <c r="BO26" s="55"/>
      <c r="BP26" s="55"/>
      <c r="BQ26" s="55"/>
      <c r="BR26" s="55"/>
      <c r="BS26" s="55"/>
      <c r="BT26" s="54"/>
      <c r="BU26" s="54"/>
      <c r="BV26" s="54"/>
      <c r="BW26" s="54"/>
      <c r="BX26" s="54"/>
      <c r="BY26" s="55"/>
      <c r="BZ26" s="55"/>
      <c r="CA26" s="55"/>
      <c r="CB26" s="55"/>
      <c r="CC26" s="55"/>
      <c r="CD26" s="54"/>
      <c r="CE26" s="54"/>
      <c r="CF26" s="54"/>
      <c r="CG26" s="54"/>
      <c r="CH26" s="54"/>
      <c r="CI26" s="55"/>
      <c r="CJ26" s="55"/>
      <c r="CK26" s="55"/>
      <c r="CL26" s="55"/>
      <c r="CM26" s="55"/>
      <c r="CN26" s="54"/>
      <c r="CO26" s="54"/>
      <c r="CP26" s="54"/>
      <c r="CQ26" s="54"/>
      <c r="CR26" s="54"/>
      <c r="CS26" s="55"/>
      <c r="CT26" s="55"/>
      <c r="CU26" s="55"/>
      <c r="CV26" s="55"/>
      <c r="CW26" s="55"/>
      <c r="CX26" s="54"/>
      <c r="CY26" s="54"/>
      <c r="CZ26" s="54"/>
      <c r="DA26" s="54"/>
      <c r="DB26" s="54"/>
      <c r="DC26" s="55"/>
      <c r="DD26" s="55"/>
      <c r="DE26" s="55"/>
      <c r="DF26" s="55"/>
      <c r="DG26" s="55"/>
      <c r="DH26" s="54"/>
      <c r="DI26" s="54"/>
      <c r="DJ26" s="54"/>
      <c r="DK26" s="54"/>
      <c r="DL26" s="54"/>
      <c r="DM26" s="55"/>
      <c r="DN26" s="55"/>
      <c r="DO26" s="55"/>
      <c r="DP26" s="55"/>
      <c r="DQ26" s="55"/>
      <c r="DR26" s="54"/>
      <c r="DS26" s="54"/>
      <c r="DT26" s="54"/>
      <c r="DU26" s="54"/>
      <c r="DV26" s="54"/>
      <c r="DW26" s="55"/>
      <c r="DX26" s="55"/>
      <c r="DY26" s="55"/>
      <c r="DZ26" s="55"/>
      <c r="EA26" s="55"/>
      <c r="EB26" s="54"/>
      <c r="EC26" s="54"/>
      <c r="ED26" s="54"/>
      <c r="EE26" s="54"/>
      <c r="EF26" s="54"/>
      <c r="EG26" s="55"/>
      <c r="EH26" s="55"/>
      <c r="EI26" s="55"/>
      <c r="EJ26" s="55"/>
      <c r="EK26" s="55"/>
      <c r="EL26" s="54"/>
      <c r="EM26" s="54"/>
      <c r="EN26" s="54"/>
      <c r="EO26" s="54"/>
      <c r="EP26" s="54"/>
      <c r="EQ26" s="55"/>
      <c r="ER26" s="55"/>
      <c r="ES26" s="55"/>
      <c r="ET26" s="55"/>
      <c r="EU26" s="55"/>
      <c r="EV26" s="54"/>
      <c r="EW26" s="54"/>
      <c r="EX26" s="54"/>
      <c r="EY26" s="54"/>
      <c r="EZ26" s="54"/>
      <c r="FA26" s="56" t="n">
        <f aca="false">COUNTIF(B26:EZ26,"A")</f>
        <v>0</v>
      </c>
      <c r="FB26" s="57" t="n">
        <f aca="false">COUNTIF(B26:EZ26,"O")</f>
        <v>0</v>
      </c>
      <c r="FC26" s="58" t="n">
        <f aca="false">COUNTIF(B26:EZ26,"D")</f>
        <v>0</v>
      </c>
      <c r="FD26" s="59" t="n">
        <f aca="false">COUNTIF(B26:EZ26,"N/A")</f>
        <v>0</v>
      </c>
      <c r="FE26" s="60" t="n">
        <f aca="false">IFERROR((FA26+FB26)/(FA26+FB26+FC26),0)</f>
        <v>0</v>
      </c>
    </row>
    <row r="27" customFormat="false" ht="18" hidden="false" customHeight="true" outlineLevel="0" collapsed="false">
      <c r="A27" s="53" t="n">
        <f aca="false">Roster!B27</f>
        <v>0</v>
      </c>
      <c r="B27" s="54"/>
      <c r="C27" s="54"/>
      <c r="D27" s="54"/>
      <c r="E27" s="54"/>
      <c r="F27" s="54"/>
      <c r="G27" s="55"/>
      <c r="H27" s="55"/>
      <c r="I27" s="55"/>
      <c r="J27" s="55"/>
      <c r="K27" s="55"/>
      <c r="L27" s="54"/>
      <c r="M27" s="54"/>
      <c r="N27" s="54"/>
      <c r="O27" s="54"/>
      <c r="P27" s="54"/>
      <c r="Q27" s="55"/>
      <c r="R27" s="55"/>
      <c r="S27" s="55"/>
      <c r="T27" s="55"/>
      <c r="U27" s="55"/>
      <c r="V27" s="54"/>
      <c r="W27" s="54"/>
      <c r="X27" s="54"/>
      <c r="Y27" s="54"/>
      <c r="Z27" s="54"/>
      <c r="AA27" s="55"/>
      <c r="AB27" s="55"/>
      <c r="AC27" s="55"/>
      <c r="AD27" s="55"/>
      <c r="AE27" s="55"/>
      <c r="AF27" s="54"/>
      <c r="AG27" s="54"/>
      <c r="AH27" s="54"/>
      <c r="AI27" s="54"/>
      <c r="AJ27" s="54"/>
      <c r="AK27" s="55"/>
      <c r="AL27" s="55"/>
      <c r="AM27" s="55"/>
      <c r="AN27" s="55"/>
      <c r="AO27" s="55"/>
      <c r="AP27" s="54"/>
      <c r="AQ27" s="54"/>
      <c r="AR27" s="54"/>
      <c r="AS27" s="54"/>
      <c r="AT27" s="54"/>
      <c r="AU27" s="55"/>
      <c r="AV27" s="55"/>
      <c r="AW27" s="55"/>
      <c r="AX27" s="55"/>
      <c r="AY27" s="55"/>
      <c r="AZ27" s="54"/>
      <c r="BA27" s="54"/>
      <c r="BB27" s="54"/>
      <c r="BC27" s="54"/>
      <c r="BD27" s="54"/>
      <c r="BE27" s="55"/>
      <c r="BF27" s="55"/>
      <c r="BG27" s="55"/>
      <c r="BH27" s="55"/>
      <c r="BI27" s="55"/>
      <c r="BJ27" s="54"/>
      <c r="BK27" s="54"/>
      <c r="BL27" s="54"/>
      <c r="BM27" s="54"/>
      <c r="BN27" s="54"/>
      <c r="BO27" s="55"/>
      <c r="BP27" s="55"/>
      <c r="BQ27" s="55"/>
      <c r="BR27" s="55"/>
      <c r="BS27" s="55"/>
      <c r="BT27" s="54"/>
      <c r="BU27" s="54"/>
      <c r="BV27" s="54"/>
      <c r="BW27" s="54"/>
      <c r="BX27" s="54"/>
      <c r="BY27" s="55"/>
      <c r="BZ27" s="55"/>
      <c r="CA27" s="55"/>
      <c r="CB27" s="55"/>
      <c r="CC27" s="55"/>
      <c r="CD27" s="54"/>
      <c r="CE27" s="54"/>
      <c r="CF27" s="54"/>
      <c r="CG27" s="54"/>
      <c r="CH27" s="54"/>
      <c r="CI27" s="55"/>
      <c r="CJ27" s="55"/>
      <c r="CK27" s="55"/>
      <c r="CL27" s="55"/>
      <c r="CM27" s="55"/>
      <c r="CN27" s="54"/>
      <c r="CO27" s="54"/>
      <c r="CP27" s="54"/>
      <c r="CQ27" s="54"/>
      <c r="CR27" s="54"/>
      <c r="CS27" s="55"/>
      <c r="CT27" s="55"/>
      <c r="CU27" s="55"/>
      <c r="CV27" s="55"/>
      <c r="CW27" s="55"/>
      <c r="CX27" s="54"/>
      <c r="CY27" s="54"/>
      <c r="CZ27" s="54"/>
      <c r="DA27" s="54"/>
      <c r="DB27" s="54"/>
      <c r="DC27" s="55"/>
      <c r="DD27" s="55"/>
      <c r="DE27" s="55"/>
      <c r="DF27" s="55"/>
      <c r="DG27" s="55"/>
      <c r="DH27" s="54"/>
      <c r="DI27" s="54"/>
      <c r="DJ27" s="54"/>
      <c r="DK27" s="54"/>
      <c r="DL27" s="54"/>
      <c r="DM27" s="55"/>
      <c r="DN27" s="55"/>
      <c r="DO27" s="55"/>
      <c r="DP27" s="55"/>
      <c r="DQ27" s="55"/>
      <c r="DR27" s="54"/>
      <c r="DS27" s="54"/>
      <c r="DT27" s="54"/>
      <c r="DU27" s="54"/>
      <c r="DV27" s="54"/>
      <c r="DW27" s="55"/>
      <c r="DX27" s="55"/>
      <c r="DY27" s="55"/>
      <c r="DZ27" s="55"/>
      <c r="EA27" s="55"/>
      <c r="EB27" s="54"/>
      <c r="EC27" s="54"/>
      <c r="ED27" s="54"/>
      <c r="EE27" s="54"/>
      <c r="EF27" s="54"/>
      <c r="EG27" s="55"/>
      <c r="EH27" s="55"/>
      <c r="EI27" s="55"/>
      <c r="EJ27" s="55"/>
      <c r="EK27" s="55"/>
      <c r="EL27" s="54"/>
      <c r="EM27" s="54"/>
      <c r="EN27" s="54"/>
      <c r="EO27" s="54"/>
      <c r="EP27" s="54"/>
      <c r="EQ27" s="55"/>
      <c r="ER27" s="55"/>
      <c r="ES27" s="55"/>
      <c r="ET27" s="55"/>
      <c r="EU27" s="55"/>
      <c r="EV27" s="54"/>
      <c r="EW27" s="54"/>
      <c r="EX27" s="54"/>
      <c r="EY27" s="54"/>
      <c r="EZ27" s="54"/>
      <c r="FA27" s="56" t="n">
        <f aca="false">COUNTIF(B27:EZ27,"A")</f>
        <v>0</v>
      </c>
      <c r="FB27" s="57" t="n">
        <f aca="false">COUNTIF(B27:EZ27,"O")</f>
        <v>0</v>
      </c>
      <c r="FC27" s="58" t="n">
        <f aca="false">COUNTIF(B27:EZ27,"D")</f>
        <v>0</v>
      </c>
      <c r="FD27" s="59" t="n">
        <f aca="false">COUNTIF(B27:EZ27,"N/A")</f>
        <v>0</v>
      </c>
      <c r="FE27" s="60" t="n">
        <f aca="false">IFERROR((FA27+FB27)/(FA27+FB27+FC27),0)</f>
        <v>0</v>
      </c>
    </row>
    <row r="28" customFormat="false" ht="18" hidden="false" customHeight="true" outlineLevel="0" collapsed="false">
      <c r="A28" s="53" t="n">
        <f aca="false">Roster!B28</f>
        <v>0</v>
      </c>
      <c r="B28" s="54"/>
      <c r="C28" s="54"/>
      <c r="D28" s="54"/>
      <c r="E28" s="54"/>
      <c r="F28" s="54"/>
      <c r="G28" s="55"/>
      <c r="H28" s="55"/>
      <c r="I28" s="55"/>
      <c r="J28" s="55"/>
      <c r="K28" s="55"/>
      <c r="L28" s="54"/>
      <c r="M28" s="54"/>
      <c r="N28" s="54"/>
      <c r="O28" s="54"/>
      <c r="P28" s="54"/>
      <c r="Q28" s="55"/>
      <c r="R28" s="55"/>
      <c r="S28" s="55"/>
      <c r="T28" s="55"/>
      <c r="U28" s="55"/>
      <c r="V28" s="54"/>
      <c r="W28" s="54"/>
      <c r="X28" s="54"/>
      <c r="Y28" s="54"/>
      <c r="Z28" s="54"/>
      <c r="AA28" s="55"/>
      <c r="AB28" s="55"/>
      <c r="AC28" s="55"/>
      <c r="AD28" s="55"/>
      <c r="AE28" s="55"/>
      <c r="AF28" s="54"/>
      <c r="AG28" s="54"/>
      <c r="AH28" s="54"/>
      <c r="AI28" s="54"/>
      <c r="AJ28" s="54"/>
      <c r="AK28" s="55"/>
      <c r="AL28" s="55"/>
      <c r="AM28" s="55"/>
      <c r="AN28" s="55"/>
      <c r="AO28" s="55"/>
      <c r="AP28" s="54"/>
      <c r="AQ28" s="54"/>
      <c r="AR28" s="54"/>
      <c r="AS28" s="54"/>
      <c r="AT28" s="54"/>
      <c r="AU28" s="55"/>
      <c r="AV28" s="55"/>
      <c r="AW28" s="55"/>
      <c r="AX28" s="55"/>
      <c r="AY28" s="55"/>
      <c r="AZ28" s="54"/>
      <c r="BA28" s="54"/>
      <c r="BB28" s="54"/>
      <c r="BC28" s="54"/>
      <c r="BD28" s="54"/>
      <c r="BE28" s="55"/>
      <c r="BF28" s="55"/>
      <c r="BG28" s="55"/>
      <c r="BH28" s="55"/>
      <c r="BI28" s="55"/>
      <c r="BJ28" s="54"/>
      <c r="BK28" s="54"/>
      <c r="BL28" s="54"/>
      <c r="BM28" s="54"/>
      <c r="BN28" s="54"/>
      <c r="BO28" s="55"/>
      <c r="BP28" s="55"/>
      <c r="BQ28" s="55"/>
      <c r="BR28" s="55"/>
      <c r="BS28" s="55"/>
      <c r="BT28" s="54"/>
      <c r="BU28" s="54"/>
      <c r="BV28" s="54"/>
      <c r="BW28" s="54"/>
      <c r="BX28" s="54"/>
      <c r="BY28" s="55"/>
      <c r="BZ28" s="55"/>
      <c r="CA28" s="55"/>
      <c r="CB28" s="55"/>
      <c r="CC28" s="55"/>
      <c r="CD28" s="54"/>
      <c r="CE28" s="54"/>
      <c r="CF28" s="54"/>
      <c r="CG28" s="54"/>
      <c r="CH28" s="54"/>
      <c r="CI28" s="55"/>
      <c r="CJ28" s="55"/>
      <c r="CK28" s="55"/>
      <c r="CL28" s="55"/>
      <c r="CM28" s="55"/>
      <c r="CN28" s="54"/>
      <c r="CO28" s="54"/>
      <c r="CP28" s="54"/>
      <c r="CQ28" s="54"/>
      <c r="CR28" s="54"/>
      <c r="CS28" s="55"/>
      <c r="CT28" s="55"/>
      <c r="CU28" s="55"/>
      <c r="CV28" s="55"/>
      <c r="CW28" s="55"/>
      <c r="CX28" s="54"/>
      <c r="CY28" s="54"/>
      <c r="CZ28" s="54"/>
      <c r="DA28" s="54"/>
      <c r="DB28" s="54"/>
      <c r="DC28" s="55"/>
      <c r="DD28" s="55"/>
      <c r="DE28" s="55"/>
      <c r="DF28" s="55"/>
      <c r="DG28" s="55"/>
      <c r="DH28" s="54"/>
      <c r="DI28" s="54"/>
      <c r="DJ28" s="54"/>
      <c r="DK28" s="54"/>
      <c r="DL28" s="54"/>
      <c r="DM28" s="55"/>
      <c r="DN28" s="55"/>
      <c r="DO28" s="55"/>
      <c r="DP28" s="55"/>
      <c r="DQ28" s="55"/>
      <c r="DR28" s="54"/>
      <c r="DS28" s="54"/>
      <c r="DT28" s="54"/>
      <c r="DU28" s="54"/>
      <c r="DV28" s="54"/>
      <c r="DW28" s="55"/>
      <c r="DX28" s="55"/>
      <c r="DY28" s="55"/>
      <c r="DZ28" s="55"/>
      <c r="EA28" s="55"/>
      <c r="EB28" s="54"/>
      <c r="EC28" s="54"/>
      <c r="ED28" s="54"/>
      <c r="EE28" s="54"/>
      <c r="EF28" s="54"/>
      <c r="EG28" s="55"/>
      <c r="EH28" s="55"/>
      <c r="EI28" s="55"/>
      <c r="EJ28" s="55"/>
      <c r="EK28" s="55"/>
      <c r="EL28" s="54"/>
      <c r="EM28" s="54"/>
      <c r="EN28" s="54"/>
      <c r="EO28" s="54"/>
      <c r="EP28" s="54"/>
      <c r="EQ28" s="55"/>
      <c r="ER28" s="55"/>
      <c r="ES28" s="55"/>
      <c r="ET28" s="55"/>
      <c r="EU28" s="55"/>
      <c r="EV28" s="54"/>
      <c r="EW28" s="54"/>
      <c r="EX28" s="54"/>
      <c r="EY28" s="54"/>
      <c r="EZ28" s="54"/>
      <c r="FA28" s="56" t="n">
        <f aca="false">COUNTIF(B28:EZ28,"A")</f>
        <v>0</v>
      </c>
      <c r="FB28" s="57" t="n">
        <f aca="false">COUNTIF(B28:EZ28,"O")</f>
        <v>0</v>
      </c>
      <c r="FC28" s="58" t="n">
        <f aca="false">COUNTIF(B28:EZ28,"D")</f>
        <v>0</v>
      </c>
      <c r="FD28" s="59" t="n">
        <f aca="false">COUNTIF(B28:EZ28,"N/A")</f>
        <v>0</v>
      </c>
      <c r="FE28" s="60" t="n">
        <f aca="false">IFERROR((FA28+FB28)/(FA28+FB28+FC28),0)</f>
        <v>0</v>
      </c>
    </row>
    <row r="29" customFormat="false" ht="18" hidden="false" customHeight="true" outlineLevel="0" collapsed="false">
      <c r="A29" s="53" t="n">
        <f aca="false">Roster!B29</f>
        <v>0</v>
      </c>
      <c r="B29" s="54"/>
      <c r="C29" s="54"/>
      <c r="D29" s="54"/>
      <c r="E29" s="54"/>
      <c r="F29" s="54"/>
      <c r="G29" s="55"/>
      <c r="H29" s="55"/>
      <c r="I29" s="55"/>
      <c r="J29" s="55"/>
      <c r="K29" s="55"/>
      <c r="L29" s="54"/>
      <c r="M29" s="54"/>
      <c r="N29" s="54"/>
      <c r="O29" s="54"/>
      <c r="P29" s="54"/>
      <c r="Q29" s="55"/>
      <c r="R29" s="55"/>
      <c r="S29" s="55"/>
      <c r="T29" s="55"/>
      <c r="U29" s="55"/>
      <c r="V29" s="54"/>
      <c r="W29" s="54"/>
      <c r="X29" s="54"/>
      <c r="Y29" s="54"/>
      <c r="Z29" s="54"/>
      <c r="AA29" s="55"/>
      <c r="AB29" s="55"/>
      <c r="AC29" s="55"/>
      <c r="AD29" s="55"/>
      <c r="AE29" s="55"/>
      <c r="AF29" s="54"/>
      <c r="AG29" s="54"/>
      <c r="AH29" s="54"/>
      <c r="AI29" s="54"/>
      <c r="AJ29" s="54"/>
      <c r="AK29" s="55"/>
      <c r="AL29" s="55"/>
      <c r="AM29" s="55"/>
      <c r="AN29" s="55"/>
      <c r="AO29" s="55"/>
      <c r="AP29" s="54"/>
      <c r="AQ29" s="54"/>
      <c r="AR29" s="54"/>
      <c r="AS29" s="54"/>
      <c r="AT29" s="54"/>
      <c r="AU29" s="55"/>
      <c r="AV29" s="55"/>
      <c r="AW29" s="55"/>
      <c r="AX29" s="55"/>
      <c r="AY29" s="55"/>
      <c r="AZ29" s="54"/>
      <c r="BA29" s="54"/>
      <c r="BB29" s="54"/>
      <c r="BC29" s="54"/>
      <c r="BD29" s="54"/>
      <c r="BE29" s="55"/>
      <c r="BF29" s="55"/>
      <c r="BG29" s="55"/>
      <c r="BH29" s="55"/>
      <c r="BI29" s="55"/>
      <c r="BJ29" s="54"/>
      <c r="BK29" s="54"/>
      <c r="BL29" s="54"/>
      <c r="BM29" s="54"/>
      <c r="BN29" s="54"/>
      <c r="BO29" s="55"/>
      <c r="BP29" s="55"/>
      <c r="BQ29" s="55"/>
      <c r="BR29" s="55"/>
      <c r="BS29" s="55"/>
      <c r="BT29" s="54"/>
      <c r="BU29" s="54"/>
      <c r="BV29" s="54"/>
      <c r="BW29" s="54"/>
      <c r="BX29" s="54"/>
      <c r="BY29" s="55"/>
      <c r="BZ29" s="55"/>
      <c r="CA29" s="55"/>
      <c r="CB29" s="55"/>
      <c r="CC29" s="55"/>
      <c r="CD29" s="54"/>
      <c r="CE29" s="54"/>
      <c r="CF29" s="54"/>
      <c r="CG29" s="54"/>
      <c r="CH29" s="54"/>
      <c r="CI29" s="55"/>
      <c r="CJ29" s="55"/>
      <c r="CK29" s="55"/>
      <c r="CL29" s="55"/>
      <c r="CM29" s="55"/>
      <c r="CN29" s="54"/>
      <c r="CO29" s="54"/>
      <c r="CP29" s="54"/>
      <c r="CQ29" s="54"/>
      <c r="CR29" s="54"/>
      <c r="CS29" s="55"/>
      <c r="CT29" s="55"/>
      <c r="CU29" s="55"/>
      <c r="CV29" s="55"/>
      <c r="CW29" s="55"/>
      <c r="CX29" s="54"/>
      <c r="CY29" s="54"/>
      <c r="CZ29" s="54"/>
      <c r="DA29" s="54"/>
      <c r="DB29" s="54"/>
      <c r="DC29" s="55"/>
      <c r="DD29" s="55"/>
      <c r="DE29" s="55"/>
      <c r="DF29" s="55"/>
      <c r="DG29" s="55"/>
      <c r="DH29" s="54"/>
      <c r="DI29" s="54"/>
      <c r="DJ29" s="54"/>
      <c r="DK29" s="54"/>
      <c r="DL29" s="54"/>
      <c r="DM29" s="55"/>
      <c r="DN29" s="55"/>
      <c r="DO29" s="55"/>
      <c r="DP29" s="55"/>
      <c r="DQ29" s="55"/>
      <c r="DR29" s="54"/>
      <c r="DS29" s="54"/>
      <c r="DT29" s="54"/>
      <c r="DU29" s="54"/>
      <c r="DV29" s="54"/>
      <c r="DW29" s="55"/>
      <c r="DX29" s="55"/>
      <c r="DY29" s="55"/>
      <c r="DZ29" s="55"/>
      <c r="EA29" s="55"/>
      <c r="EB29" s="54"/>
      <c r="EC29" s="54"/>
      <c r="ED29" s="54"/>
      <c r="EE29" s="54"/>
      <c r="EF29" s="54"/>
      <c r="EG29" s="55"/>
      <c r="EH29" s="55"/>
      <c r="EI29" s="55"/>
      <c r="EJ29" s="55"/>
      <c r="EK29" s="55"/>
      <c r="EL29" s="54"/>
      <c r="EM29" s="54"/>
      <c r="EN29" s="54"/>
      <c r="EO29" s="54"/>
      <c r="EP29" s="54"/>
      <c r="EQ29" s="55"/>
      <c r="ER29" s="55"/>
      <c r="ES29" s="55"/>
      <c r="ET29" s="55"/>
      <c r="EU29" s="55"/>
      <c r="EV29" s="54"/>
      <c r="EW29" s="54"/>
      <c r="EX29" s="54"/>
      <c r="EY29" s="54"/>
      <c r="EZ29" s="54"/>
      <c r="FA29" s="56" t="n">
        <f aca="false">COUNTIF(B29:EZ29,"A")</f>
        <v>0</v>
      </c>
      <c r="FB29" s="57" t="n">
        <f aca="false">COUNTIF(B29:EZ29,"O")</f>
        <v>0</v>
      </c>
      <c r="FC29" s="58" t="n">
        <f aca="false">COUNTIF(B29:EZ29,"D")</f>
        <v>0</v>
      </c>
      <c r="FD29" s="59" t="n">
        <f aca="false">COUNTIF(B29:EZ29,"N/A")</f>
        <v>0</v>
      </c>
      <c r="FE29" s="60" t="n">
        <f aca="false">IFERROR((FA29+FB29)/(FA29+FB29+FC29),0)</f>
        <v>0</v>
      </c>
    </row>
    <row r="30" customFormat="false" ht="18" hidden="false" customHeight="true" outlineLevel="0" collapsed="false">
      <c r="A30" s="53" t="n">
        <f aca="false">Roster!B30</f>
        <v>0</v>
      </c>
      <c r="B30" s="54"/>
      <c r="C30" s="54"/>
      <c r="D30" s="54"/>
      <c r="E30" s="54"/>
      <c r="F30" s="54"/>
      <c r="G30" s="55"/>
      <c r="H30" s="55"/>
      <c r="I30" s="55"/>
      <c r="J30" s="55"/>
      <c r="K30" s="55"/>
      <c r="L30" s="54"/>
      <c r="M30" s="54"/>
      <c r="N30" s="54"/>
      <c r="O30" s="54"/>
      <c r="P30" s="54"/>
      <c r="Q30" s="55"/>
      <c r="R30" s="55"/>
      <c r="S30" s="55"/>
      <c r="T30" s="55"/>
      <c r="U30" s="55"/>
      <c r="V30" s="54"/>
      <c r="W30" s="54"/>
      <c r="X30" s="54"/>
      <c r="Y30" s="54"/>
      <c r="Z30" s="54"/>
      <c r="AA30" s="55"/>
      <c r="AB30" s="55"/>
      <c r="AC30" s="55"/>
      <c r="AD30" s="55"/>
      <c r="AE30" s="55"/>
      <c r="AF30" s="54"/>
      <c r="AG30" s="54"/>
      <c r="AH30" s="54"/>
      <c r="AI30" s="54"/>
      <c r="AJ30" s="54"/>
      <c r="AK30" s="55"/>
      <c r="AL30" s="55"/>
      <c r="AM30" s="55"/>
      <c r="AN30" s="55"/>
      <c r="AO30" s="55"/>
      <c r="AP30" s="54"/>
      <c r="AQ30" s="54"/>
      <c r="AR30" s="54"/>
      <c r="AS30" s="54"/>
      <c r="AT30" s="54"/>
      <c r="AU30" s="55"/>
      <c r="AV30" s="55"/>
      <c r="AW30" s="55"/>
      <c r="AX30" s="55"/>
      <c r="AY30" s="55"/>
      <c r="AZ30" s="54"/>
      <c r="BA30" s="54"/>
      <c r="BB30" s="54"/>
      <c r="BC30" s="54"/>
      <c r="BD30" s="54"/>
      <c r="BE30" s="55"/>
      <c r="BF30" s="55"/>
      <c r="BG30" s="55"/>
      <c r="BH30" s="55"/>
      <c r="BI30" s="55"/>
      <c r="BJ30" s="54"/>
      <c r="BK30" s="54"/>
      <c r="BL30" s="54"/>
      <c r="BM30" s="54"/>
      <c r="BN30" s="54"/>
      <c r="BO30" s="55"/>
      <c r="BP30" s="55"/>
      <c r="BQ30" s="55"/>
      <c r="BR30" s="55"/>
      <c r="BS30" s="55"/>
      <c r="BT30" s="54"/>
      <c r="BU30" s="54"/>
      <c r="BV30" s="54"/>
      <c r="BW30" s="54"/>
      <c r="BX30" s="54"/>
      <c r="BY30" s="55"/>
      <c r="BZ30" s="55"/>
      <c r="CA30" s="55"/>
      <c r="CB30" s="55"/>
      <c r="CC30" s="55"/>
      <c r="CD30" s="54"/>
      <c r="CE30" s="54"/>
      <c r="CF30" s="54"/>
      <c r="CG30" s="54"/>
      <c r="CH30" s="54"/>
      <c r="CI30" s="55"/>
      <c r="CJ30" s="55"/>
      <c r="CK30" s="55"/>
      <c r="CL30" s="55"/>
      <c r="CM30" s="55"/>
      <c r="CN30" s="54"/>
      <c r="CO30" s="54"/>
      <c r="CP30" s="54"/>
      <c r="CQ30" s="54"/>
      <c r="CR30" s="54"/>
      <c r="CS30" s="55"/>
      <c r="CT30" s="55"/>
      <c r="CU30" s="55"/>
      <c r="CV30" s="55"/>
      <c r="CW30" s="55"/>
      <c r="CX30" s="54"/>
      <c r="CY30" s="54"/>
      <c r="CZ30" s="54"/>
      <c r="DA30" s="54"/>
      <c r="DB30" s="54"/>
      <c r="DC30" s="55"/>
      <c r="DD30" s="55"/>
      <c r="DE30" s="55"/>
      <c r="DF30" s="55"/>
      <c r="DG30" s="55"/>
      <c r="DH30" s="54"/>
      <c r="DI30" s="54"/>
      <c r="DJ30" s="54"/>
      <c r="DK30" s="54"/>
      <c r="DL30" s="54"/>
      <c r="DM30" s="55"/>
      <c r="DN30" s="55"/>
      <c r="DO30" s="55"/>
      <c r="DP30" s="55"/>
      <c r="DQ30" s="55"/>
      <c r="DR30" s="54"/>
      <c r="DS30" s="54"/>
      <c r="DT30" s="54"/>
      <c r="DU30" s="54"/>
      <c r="DV30" s="54"/>
      <c r="DW30" s="55"/>
      <c r="DX30" s="55"/>
      <c r="DY30" s="55"/>
      <c r="DZ30" s="55"/>
      <c r="EA30" s="55"/>
      <c r="EB30" s="54"/>
      <c r="EC30" s="54"/>
      <c r="ED30" s="54"/>
      <c r="EE30" s="54"/>
      <c r="EF30" s="54"/>
      <c r="EG30" s="55"/>
      <c r="EH30" s="55"/>
      <c r="EI30" s="55"/>
      <c r="EJ30" s="55"/>
      <c r="EK30" s="55"/>
      <c r="EL30" s="54"/>
      <c r="EM30" s="54"/>
      <c r="EN30" s="54"/>
      <c r="EO30" s="54"/>
      <c r="EP30" s="54"/>
      <c r="EQ30" s="55"/>
      <c r="ER30" s="55"/>
      <c r="ES30" s="55"/>
      <c r="ET30" s="55"/>
      <c r="EU30" s="55"/>
      <c r="EV30" s="54"/>
      <c r="EW30" s="54"/>
      <c r="EX30" s="54"/>
      <c r="EY30" s="54"/>
      <c r="EZ30" s="54"/>
      <c r="FA30" s="56" t="n">
        <f aca="false">COUNTIF(B30:EZ30,"A")</f>
        <v>0</v>
      </c>
      <c r="FB30" s="57" t="n">
        <f aca="false">COUNTIF(B30:EZ30,"O")</f>
        <v>0</v>
      </c>
      <c r="FC30" s="58" t="n">
        <f aca="false">COUNTIF(B30:EZ30,"D")</f>
        <v>0</v>
      </c>
      <c r="FD30" s="59" t="n">
        <f aca="false">COUNTIF(B30:EZ30,"N/A")</f>
        <v>0</v>
      </c>
      <c r="FE30" s="60" t="n">
        <f aca="false">IFERROR((FA30+FB30)/(FA30+FB30+FC30),0)</f>
        <v>0</v>
      </c>
    </row>
    <row r="31" customFormat="false" ht="18" hidden="false" customHeight="true" outlineLevel="0" collapsed="false">
      <c r="A31" s="53" t="n">
        <f aca="false">Roster!B31</f>
        <v>0</v>
      </c>
      <c r="B31" s="54"/>
      <c r="C31" s="54"/>
      <c r="D31" s="54"/>
      <c r="E31" s="54"/>
      <c r="F31" s="54"/>
      <c r="G31" s="55"/>
      <c r="H31" s="55"/>
      <c r="I31" s="55"/>
      <c r="J31" s="55"/>
      <c r="K31" s="55"/>
      <c r="L31" s="54"/>
      <c r="M31" s="54"/>
      <c r="N31" s="54"/>
      <c r="O31" s="54"/>
      <c r="P31" s="54"/>
      <c r="Q31" s="55"/>
      <c r="R31" s="55"/>
      <c r="S31" s="55"/>
      <c r="T31" s="55"/>
      <c r="U31" s="55"/>
      <c r="V31" s="54"/>
      <c r="W31" s="54"/>
      <c r="X31" s="54"/>
      <c r="Y31" s="54"/>
      <c r="Z31" s="54"/>
      <c r="AA31" s="55"/>
      <c r="AB31" s="55"/>
      <c r="AC31" s="55"/>
      <c r="AD31" s="55"/>
      <c r="AE31" s="55"/>
      <c r="AF31" s="54"/>
      <c r="AG31" s="54"/>
      <c r="AH31" s="54"/>
      <c r="AI31" s="54"/>
      <c r="AJ31" s="54"/>
      <c r="AK31" s="55"/>
      <c r="AL31" s="55"/>
      <c r="AM31" s="55"/>
      <c r="AN31" s="55"/>
      <c r="AO31" s="55"/>
      <c r="AP31" s="54"/>
      <c r="AQ31" s="54"/>
      <c r="AR31" s="54"/>
      <c r="AS31" s="54"/>
      <c r="AT31" s="54"/>
      <c r="AU31" s="55"/>
      <c r="AV31" s="55"/>
      <c r="AW31" s="55"/>
      <c r="AX31" s="55"/>
      <c r="AY31" s="55"/>
      <c r="AZ31" s="54"/>
      <c r="BA31" s="54"/>
      <c r="BB31" s="54"/>
      <c r="BC31" s="54"/>
      <c r="BD31" s="54"/>
      <c r="BE31" s="55"/>
      <c r="BF31" s="55"/>
      <c r="BG31" s="55"/>
      <c r="BH31" s="55"/>
      <c r="BI31" s="55"/>
      <c r="BJ31" s="54"/>
      <c r="BK31" s="54"/>
      <c r="BL31" s="54"/>
      <c r="BM31" s="54"/>
      <c r="BN31" s="54"/>
      <c r="BO31" s="55"/>
      <c r="BP31" s="55"/>
      <c r="BQ31" s="55"/>
      <c r="BR31" s="55"/>
      <c r="BS31" s="55"/>
      <c r="BT31" s="54"/>
      <c r="BU31" s="54"/>
      <c r="BV31" s="54"/>
      <c r="BW31" s="54"/>
      <c r="BX31" s="54"/>
      <c r="BY31" s="55"/>
      <c r="BZ31" s="55"/>
      <c r="CA31" s="55"/>
      <c r="CB31" s="55"/>
      <c r="CC31" s="55"/>
      <c r="CD31" s="54"/>
      <c r="CE31" s="54"/>
      <c r="CF31" s="54"/>
      <c r="CG31" s="54"/>
      <c r="CH31" s="54"/>
      <c r="CI31" s="55"/>
      <c r="CJ31" s="55"/>
      <c r="CK31" s="55"/>
      <c r="CL31" s="55"/>
      <c r="CM31" s="55"/>
      <c r="CN31" s="54"/>
      <c r="CO31" s="54"/>
      <c r="CP31" s="54"/>
      <c r="CQ31" s="54"/>
      <c r="CR31" s="54"/>
      <c r="CS31" s="55"/>
      <c r="CT31" s="55"/>
      <c r="CU31" s="55"/>
      <c r="CV31" s="55"/>
      <c r="CW31" s="55"/>
      <c r="CX31" s="54"/>
      <c r="CY31" s="54"/>
      <c r="CZ31" s="54"/>
      <c r="DA31" s="54"/>
      <c r="DB31" s="54"/>
      <c r="DC31" s="55"/>
      <c r="DD31" s="55"/>
      <c r="DE31" s="55"/>
      <c r="DF31" s="55"/>
      <c r="DG31" s="55"/>
      <c r="DH31" s="54"/>
      <c r="DI31" s="54"/>
      <c r="DJ31" s="54"/>
      <c r="DK31" s="54"/>
      <c r="DL31" s="54"/>
      <c r="DM31" s="55"/>
      <c r="DN31" s="55"/>
      <c r="DO31" s="55"/>
      <c r="DP31" s="55"/>
      <c r="DQ31" s="55"/>
      <c r="DR31" s="54"/>
      <c r="DS31" s="54"/>
      <c r="DT31" s="54"/>
      <c r="DU31" s="54"/>
      <c r="DV31" s="54"/>
      <c r="DW31" s="55"/>
      <c r="DX31" s="55"/>
      <c r="DY31" s="55"/>
      <c r="DZ31" s="55"/>
      <c r="EA31" s="55"/>
      <c r="EB31" s="54"/>
      <c r="EC31" s="54"/>
      <c r="ED31" s="54"/>
      <c r="EE31" s="54"/>
      <c r="EF31" s="54"/>
      <c r="EG31" s="55"/>
      <c r="EH31" s="55"/>
      <c r="EI31" s="55"/>
      <c r="EJ31" s="55"/>
      <c r="EK31" s="55"/>
      <c r="EL31" s="54"/>
      <c r="EM31" s="54"/>
      <c r="EN31" s="54"/>
      <c r="EO31" s="54"/>
      <c r="EP31" s="54"/>
      <c r="EQ31" s="55"/>
      <c r="ER31" s="55"/>
      <c r="ES31" s="55"/>
      <c r="ET31" s="55"/>
      <c r="EU31" s="55"/>
      <c r="EV31" s="54"/>
      <c r="EW31" s="54"/>
      <c r="EX31" s="54"/>
      <c r="EY31" s="54"/>
      <c r="EZ31" s="54"/>
      <c r="FA31" s="56" t="n">
        <f aca="false">COUNTIF(B31:EZ31,"A")</f>
        <v>0</v>
      </c>
      <c r="FB31" s="57" t="n">
        <f aca="false">COUNTIF(B31:EZ31,"O")</f>
        <v>0</v>
      </c>
      <c r="FC31" s="58" t="n">
        <f aca="false">COUNTIF(B31:EZ31,"D")</f>
        <v>0</v>
      </c>
      <c r="FD31" s="59" t="n">
        <f aca="false">COUNTIF(B31:EZ31,"N/A")</f>
        <v>0</v>
      </c>
      <c r="FE31" s="60" t="n">
        <f aca="false">IFERROR((FA31+FB31)/(FA31+FB31+FC31),0)</f>
        <v>0</v>
      </c>
    </row>
    <row r="32" customFormat="false" ht="18" hidden="false" customHeight="true" outlineLevel="0" collapsed="false">
      <c r="A32" s="53" t="n">
        <f aca="false">Roster!B32</f>
        <v>0</v>
      </c>
      <c r="B32" s="54"/>
      <c r="C32" s="54"/>
      <c r="D32" s="54"/>
      <c r="E32" s="54"/>
      <c r="F32" s="54"/>
      <c r="G32" s="55"/>
      <c r="H32" s="55"/>
      <c r="I32" s="55"/>
      <c r="J32" s="55"/>
      <c r="K32" s="55"/>
      <c r="L32" s="54"/>
      <c r="M32" s="54"/>
      <c r="N32" s="54"/>
      <c r="O32" s="54"/>
      <c r="P32" s="54"/>
      <c r="Q32" s="55"/>
      <c r="R32" s="55"/>
      <c r="S32" s="55"/>
      <c r="T32" s="55"/>
      <c r="U32" s="55"/>
      <c r="V32" s="54"/>
      <c r="W32" s="54"/>
      <c r="X32" s="54"/>
      <c r="Y32" s="54"/>
      <c r="Z32" s="54"/>
      <c r="AA32" s="55"/>
      <c r="AB32" s="55"/>
      <c r="AC32" s="55"/>
      <c r="AD32" s="55"/>
      <c r="AE32" s="55"/>
      <c r="AF32" s="54"/>
      <c r="AG32" s="54"/>
      <c r="AH32" s="54"/>
      <c r="AI32" s="54"/>
      <c r="AJ32" s="54"/>
      <c r="AK32" s="55"/>
      <c r="AL32" s="55"/>
      <c r="AM32" s="55"/>
      <c r="AN32" s="55"/>
      <c r="AO32" s="55"/>
      <c r="AP32" s="54"/>
      <c r="AQ32" s="54"/>
      <c r="AR32" s="54"/>
      <c r="AS32" s="54"/>
      <c r="AT32" s="54"/>
      <c r="AU32" s="55"/>
      <c r="AV32" s="55"/>
      <c r="AW32" s="55"/>
      <c r="AX32" s="55"/>
      <c r="AY32" s="55"/>
      <c r="AZ32" s="54"/>
      <c r="BA32" s="54"/>
      <c r="BB32" s="54"/>
      <c r="BC32" s="54"/>
      <c r="BD32" s="54"/>
      <c r="BE32" s="55"/>
      <c r="BF32" s="55"/>
      <c r="BG32" s="55"/>
      <c r="BH32" s="55"/>
      <c r="BI32" s="55"/>
      <c r="BJ32" s="54"/>
      <c r="BK32" s="54"/>
      <c r="BL32" s="54"/>
      <c r="BM32" s="54"/>
      <c r="BN32" s="54"/>
      <c r="BO32" s="55"/>
      <c r="BP32" s="55"/>
      <c r="BQ32" s="55"/>
      <c r="BR32" s="55"/>
      <c r="BS32" s="55"/>
      <c r="BT32" s="54"/>
      <c r="BU32" s="54"/>
      <c r="BV32" s="54"/>
      <c r="BW32" s="54"/>
      <c r="BX32" s="54"/>
      <c r="BY32" s="55"/>
      <c r="BZ32" s="55"/>
      <c r="CA32" s="55"/>
      <c r="CB32" s="55"/>
      <c r="CC32" s="55"/>
      <c r="CD32" s="54"/>
      <c r="CE32" s="54"/>
      <c r="CF32" s="54"/>
      <c r="CG32" s="54"/>
      <c r="CH32" s="54"/>
      <c r="CI32" s="55"/>
      <c r="CJ32" s="55"/>
      <c r="CK32" s="55"/>
      <c r="CL32" s="55"/>
      <c r="CM32" s="55"/>
      <c r="CN32" s="54"/>
      <c r="CO32" s="54"/>
      <c r="CP32" s="54"/>
      <c r="CQ32" s="54"/>
      <c r="CR32" s="54"/>
      <c r="CS32" s="55"/>
      <c r="CT32" s="55"/>
      <c r="CU32" s="55"/>
      <c r="CV32" s="55"/>
      <c r="CW32" s="55"/>
      <c r="CX32" s="54"/>
      <c r="CY32" s="54"/>
      <c r="CZ32" s="54"/>
      <c r="DA32" s="54"/>
      <c r="DB32" s="54"/>
      <c r="DC32" s="55"/>
      <c r="DD32" s="55"/>
      <c r="DE32" s="55"/>
      <c r="DF32" s="55"/>
      <c r="DG32" s="55"/>
      <c r="DH32" s="54"/>
      <c r="DI32" s="54"/>
      <c r="DJ32" s="54"/>
      <c r="DK32" s="54"/>
      <c r="DL32" s="54"/>
      <c r="DM32" s="55"/>
      <c r="DN32" s="55"/>
      <c r="DO32" s="55"/>
      <c r="DP32" s="55"/>
      <c r="DQ32" s="55"/>
      <c r="DR32" s="54"/>
      <c r="DS32" s="54"/>
      <c r="DT32" s="54"/>
      <c r="DU32" s="54"/>
      <c r="DV32" s="54"/>
      <c r="DW32" s="55"/>
      <c r="DX32" s="55"/>
      <c r="DY32" s="55"/>
      <c r="DZ32" s="55"/>
      <c r="EA32" s="55"/>
      <c r="EB32" s="54"/>
      <c r="EC32" s="54"/>
      <c r="ED32" s="54"/>
      <c r="EE32" s="54"/>
      <c r="EF32" s="54"/>
      <c r="EG32" s="55"/>
      <c r="EH32" s="55"/>
      <c r="EI32" s="55"/>
      <c r="EJ32" s="55"/>
      <c r="EK32" s="55"/>
      <c r="EL32" s="54"/>
      <c r="EM32" s="54"/>
      <c r="EN32" s="54"/>
      <c r="EO32" s="54"/>
      <c r="EP32" s="54"/>
      <c r="EQ32" s="55"/>
      <c r="ER32" s="55"/>
      <c r="ES32" s="55"/>
      <c r="ET32" s="55"/>
      <c r="EU32" s="55"/>
      <c r="EV32" s="54"/>
      <c r="EW32" s="54"/>
      <c r="EX32" s="54"/>
      <c r="EY32" s="54"/>
      <c r="EZ32" s="54"/>
      <c r="FA32" s="56" t="n">
        <f aca="false">COUNTIF(B32:EZ32,"A")</f>
        <v>0</v>
      </c>
      <c r="FB32" s="57" t="n">
        <f aca="false">COUNTIF(B32:EZ32,"O")</f>
        <v>0</v>
      </c>
      <c r="FC32" s="58" t="n">
        <f aca="false">COUNTIF(B32:EZ32,"D")</f>
        <v>0</v>
      </c>
      <c r="FD32" s="59" t="n">
        <f aca="false">COUNTIF(B32:EZ32,"N/A")</f>
        <v>0</v>
      </c>
      <c r="FE32" s="60" t="n">
        <f aca="false">IFERROR((FA32+FB32)/(FA32+FB32+FC32),0)</f>
        <v>0</v>
      </c>
    </row>
    <row r="33" customFormat="false" ht="18" hidden="false" customHeight="true" outlineLevel="0" collapsed="false">
      <c r="A33" s="53" t="n">
        <f aca="false">Roster!B33</f>
        <v>0</v>
      </c>
      <c r="B33" s="54"/>
      <c r="C33" s="54"/>
      <c r="D33" s="54"/>
      <c r="E33" s="54"/>
      <c r="F33" s="54"/>
      <c r="G33" s="55"/>
      <c r="H33" s="55"/>
      <c r="I33" s="55"/>
      <c r="J33" s="55"/>
      <c r="K33" s="55"/>
      <c r="L33" s="54"/>
      <c r="M33" s="54"/>
      <c r="N33" s="54"/>
      <c r="O33" s="54"/>
      <c r="P33" s="54"/>
      <c r="Q33" s="55"/>
      <c r="R33" s="55"/>
      <c r="S33" s="55"/>
      <c r="T33" s="55"/>
      <c r="U33" s="55"/>
      <c r="V33" s="54"/>
      <c r="W33" s="54"/>
      <c r="X33" s="54"/>
      <c r="Y33" s="54"/>
      <c r="Z33" s="54"/>
      <c r="AA33" s="55"/>
      <c r="AB33" s="55"/>
      <c r="AC33" s="55"/>
      <c r="AD33" s="55"/>
      <c r="AE33" s="55"/>
      <c r="AF33" s="54"/>
      <c r="AG33" s="54"/>
      <c r="AH33" s="54"/>
      <c r="AI33" s="54"/>
      <c r="AJ33" s="54"/>
      <c r="AK33" s="55"/>
      <c r="AL33" s="55"/>
      <c r="AM33" s="55"/>
      <c r="AN33" s="55"/>
      <c r="AO33" s="55"/>
      <c r="AP33" s="54"/>
      <c r="AQ33" s="54"/>
      <c r="AR33" s="54"/>
      <c r="AS33" s="54"/>
      <c r="AT33" s="54"/>
      <c r="AU33" s="55"/>
      <c r="AV33" s="55"/>
      <c r="AW33" s="55"/>
      <c r="AX33" s="55"/>
      <c r="AY33" s="55"/>
      <c r="AZ33" s="54"/>
      <c r="BA33" s="54"/>
      <c r="BB33" s="54"/>
      <c r="BC33" s="54"/>
      <c r="BD33" s="54"/>
      <c r="BE33" s="55"/>
      <c r="BF33" s="55"/>
      <c r="BG33" s="55"/>
      <c r="BH33" s="55"/>
      <c r="BI33" s="55"/>
      <c r="BJ33" s="54"/>
      <c r="BK33" s="54"/>
      <c r="BL33" s="54"/>
      <c r="BM33" s="54"/>
      <c r="BN33" s="54"/>
      <c r="BO33" s="55"/>
      <c r="BP33" s="55"/>
      <c r="BQ33" s="55"/>
      <c r="BR33" s="55"/>
      <c r="BS33" s="55"/>
      <c r="BT33" s="54"/>
      <c r="BU33" s="54"/>
      <c r="BV33" s="54"/>
      <c r="BW33" s="54"/>
      <c r="BX33" s="54"/>
      <c r="BY33" s="55"/>
      <c r="BZ33" s="55"/>
      <c r="CA33" s="55"/>
      <c r="CB33" s="55"/>
      <c r="CC33" s="55"/>
      <c r="CD33" s="54"/>
      <c r="CE33" s="54"/>
      <c r="CF33" s="54"/>
      <c r="CG33" s="54"/>
      <c r="CH33" s="54"/>
      <c r="CI33" s="55"/>
      <c r="CJ33" s="55"/>
      <c r="CK33" s="55"/>
      <c r="CL33" s="55"/>
      <c r="CM33" s="55"/>
      <c r="CN33" s="54"/>
      <c r="CO33" s="54"/>
      <c r="CP33" s="54"/>
      <c r="CQ33" s="54"/>
      <c r="CR33" s="54"/>
      <c r="CS33" s="55"/>
      <c r="CT33" s="55"/>
      <c r="CU33" s="55"/>
      <c r="CV33" s="55"/>
      <c r="CW33" s="55"/>
      <c r="CX33" s="54"/>
      <c r="CY33" s="54"/>
      <c r="CZ33" s="54"/>
      <c r="DA33" s="54"/>
      <c r="DB33" s="54"/>
      <c r="DC33" s="55"/>
      <c r="DD33" s="55"/>
      <c r="DE33" s="55"/>
      <c r="DF33" s="55"/>
      <c r="DG33" s="55"/>
      <c r="DH33" s="54"/>
      <c r="DI33" s="54"/>
      <c r="DJ33" s="54"/>
      <c r="DK33" s="54"/>
      <c r="DL33" s="54"/>
      <c r="DM33" s="55"/>
      <c r="DN33" s="55"/>
      <c r="DO33" s="55"/>
      <c r="DP33" s="55"/>
      <c r="DQ33" s="55"/>
      <c r="DR33" s="54"/>
      <c r="DS33" s="54"/>
      <c r="DT33" s="54"/>
      <c r="DU33" s="54"/>
      <c r="DV33" s="54"/>
      <c r="DW33" s="55"/>
      <c r="DX33" s="55"/>
      <c r="DY33" s="55"/>
      <c r="DZ33" s="55"/>
      <c r="EA33" s="55"/>
      <c r="EB33" s="54"/>
      <c r="EC33" s="54"/>
      <c r="ED33" s="54"/>
      <c r="EE33" s="54"/>
      <c r="EF33" s="54"/>
      <c r="EG33" s="55"/>
      <c r="EH33" s="55"/>
      <c r="EI33" s="55"/>
      <c r="EJ33" s="55"/>
      <c r="EK33" s="55"/>
      <c r="EL33" s="54"/>
      <c r="EM33" s="54"/>
      <c r="EN33" s="54"/>
      <c r="EO33" s="54"/>
      <c r="EP33" s="54"/>
      <c r="EQ33" s="55"/>
      <c r="ER33" s="55"/>
      <c r="ES33" s="55"/>
      <c r="ET33" s="55"/>
      <c r="EU33" s="55"/>
      <c r="EV33" s="54"/>
      <c r="EW33" s="54"/>
      <c r="EX33" s="54"/>
      <c r="EY33" s="54"/>
      <c r="EZ33" s="54"/>
      <c r="FA33" s="56" t="n">
        <f aca="false">COUNTIF(B33:EZ33,"A")</f>
        <v>0</v>
      </c>
      <c r="FB33" s="57" t="n">
        <f aca="false">COUNTIF(B33:EZ33,"O")</f>
        <v>0</v>
      </c>
      <c r="FC33" s="58" t="n">
        <f aca="false">COUNTIF(B33:EZ33,"D")</f>
        <v>0</v>
      </c>
      <c r="FD33" s="59" t="n">
        <f aca="false">COUNTIF(B33:EZ33,"N/A")</f>
        <v>0</v>
      </c>
      <c r="FE33" s="60" t="n">
        <f aca="false">IFERROR((FA33+FB33)/(FA33+FB33+FC33),0)</f>
        <v>0</v>
      </c>
    </row>
    <row r="34" customFormat="false" ht="18" hidden="false" customHeight="true" outlineLevel="0" collapsed="false">
      <c r="A34" s="53" t="n">
        <f aca="false">Roster!B34</f>
        <v>0</v>
      </c>
      <c r="B34" s="54"/>
      <c r="C34" s="54"/>
      <c r="D34" s="54"/>
      <c r="E34" s="54"/>
      <c r="F34" s="54"/>
      <c r="G34" s="55"/>
      <c r="H34" s="55"/>
      <c r="I34" s="55"/>
      <c r="J34" s="55"/>
      <c r="K34" s="55"/>
      <c r="L34" s="54"/>
      <c r="M34" s="54"/>
      <c r="N34" s="54"/>
      <c r="O34" s="54"/>
      <c r="P34" s="54"/>
      <c r="Q34" s="55"/>
      <c r="R34" s="55"/>
      <c r="S34" s="55"/>
      <c r="T34" s="55"/>
      <c r="U34" s="55"/>
      <c r="V34" s="54"/>
      <c r="W34" s="54"/>
      <c r="X34" s="54"/>
      <c r="Y34" s="54"/>
      <c r="Z34" s="54"/>
      <c r="AA34" s="55"/>
      <c r="AB34" s="55"/>
      <c r="AC34" s="55"/>
      <c r="AD34" s="55"/>
      <c r="AE34" s="55"/>
      <c r="AF34" s="54"/>
      <c r="AG34" s="54"/>
      <c r="AH34" s="54"/>
      <c r="AI34" s="54"/>
      <c r="AJ34" s="54"/>
      <c r="AK34" s="55"/>
      <c r="AL34" s="55"/>
      <c r="AM34" s="55"/>
      <c r="AN34" s="55"/>
      <c r="AO34" s="55"/>
      <c r="AP34" s="54"/>
      <c r="AQ34" s="54"/>
      <c r="AR34" s="54"/>
      <c r="AS34" s="54"/>
      <c r="AT34" s="54"/>
      <c r="AU34" s="55"/>
      <c r="AV34" s="55"/>
      <c r="AW34" s="55"/>
      <c r="AX34" s="55"/>
      <c r="AY34" s="55"/>
      <c r="AZ34" s="54"/>
      <c r="BA34" s="54"/>
      <c r="BB34" s="54"/>
      <c r="BC34" s="54"/>
      <c r="BD34" s="54"/>
      <c r="BE34" s="55"/>
      <c r="BF34" s="55"/>
      <c r="BG34" s="55"/>
      <c r="BH34" s="55"/>
      <c r="BI34" s="55"/>
      <c r="BJ34" s="54"/>
      <c r="BK34" s="54"/>
      <c r="BL34" s="54"/>
      <c r="BM34" s="54"/>
      <c r="BN34" s="54"/>
      <c r="BO34" s="55"/>
      <c r="BP34" s="55"/>
      <c r="BQ34" s="55"/>
      <c r="BR34" s="55"/>
      <c r="BS34" s="55"/>
      <c r="BT34" s="54"/>
      <c r="BU34" s="54"/>
      <c r="BV34" s="54"/>
      <c r="BW34" s="54"/>
      <c r="BX34" s="54"/>
      <c r="BY34" s="55"/>
      <c r="BZ34" s="55"/>
      <c r="CA34" s="55"/>
      <c r="CB34" s="55"/>
      <c r="CC34" s="55"/>
      <c r="CD34" s="54"/>
      <c r="CE34" s="54"/>
      <c r="CF34" s="54"/>
      <c r="CG34" s="54"/>
      <c r="CH34" s="54"/>
      <c r="CI34" s="55"/>
      <c r="CJ34" s="55"/>
      <c r="CK34" s="55"/>
      <c r="CL34" s="55"/>
      <c r="CM34" s="55"/>
      <c r="CN34" s="54"/>
      <c r="CO34" s="54"/>
      <c r="CP34" s="54"/>
      <c r="CQ34" s="54"/>
      <c r="CR34" s="54"/>
      <c r="CS34" s="55"/>
      <c r="CT34" s="55"/>
      <c r="CU34" s="55"/>
      <c r="CV34" s="55"/>
      <c r="CW34" s="55"/>
      <c r="CX34" s="54"/>
      <c r="CY34" s="54"/>
      <c r="CZ34" s="54"/>
      <c r="DA34" s="54"/>
      <c r="DB34" s="54"/>
      <c r="DC34" s="55"/>
      <c r="DD34" s="55"/>
      <c r="DE34" s="55"/>
      <c r="DF34" s="55"/>
      <c r="DG34" s="55"/>
      <c r="DH34" s="54"/>
      <c r="DI34" s="54"/>
      <c r="DJ34" s="54"/>
      <c r="DK34" s="54"/>
      <c r="DL34" s="54"/>
      <c r="DM34" s="55"/>
      <c r="DN34" s="55"/>
      <c r="DO34" s="55"/>
      <c r="DP34" s="55"/>
      <c r="DQ34" s="55"/>
      <c r="DR34" s="54"/>
      <c r="DS34" s="54"/>
      <c r="DT34" s="54"/>
      <c r="DU34" s="54"/>
      <c r="DV34" s="54"/>
      <c r="DW34" s="55"/>
      <c r="DX34" s="55"/>
      <c r="DY34" s="55"/>
      <c r="DZ34" s="55"/>
      <c r="EA34" s="55"/>
      <c r="EB34" s="54"/>
      <c r="EC34" s="54"/>
      <c r="ED34" s="54"/>
      <c r="EE34" s="54"/>
      <c r="EF34" s="54"/>
      <c r="EG34" s="55"/>
      <c r="EH34" s="55"/>
      <c r="EI34" s="55"/>
      <c r="EJ34" s="55"/>
      <c r="EK34" s="55"/>
      <c r="EL34" s="54"/>
      <c r="EM34" s="54"/>
      <c r="EN34" s="54"/>
      <c r="EO34" s="54"/>
      <c r="EP34" s="54"/>
      <c r="EQ34" s="55"/>
      <c r="ER34" s="55"/>
      <c r="ES34" s="55"/>
      <c r="ET34" s="55"/>
      <c r="EU34" s="55"/>
      <c r="EV34" s="54"/>
      <c r="EW34" s="54"/>
      <c r="EX34" s="54"/>
      <c r="EY34" s="54"/>
      <c r="EZ34" s="54"/>
      <c r="FA34" s="56" t="n">
        <f aca="false">COUNTIF(B34:EZ34,"A")</f>
        <v>0</v>
      </c>
      <c r="FB34" s="57" t="n">
        <f aca="false">COUNTIF(B34:EZ34,"O")</f>
        <v>0</v>
      </c>
      <c r="FC34" s="58" t="n">
        <f aca="false">COUNTIF(B34:EZ34,"D")</f>
        <v>0</v>
      </c>
      <c r="FD34" s="59" t="n">
        <f aca="false">COUNTIF(B34:EZ34,"N/A")</f>
        <v>0</v>
      </c>
      <c r="FE34" s="60" t="n">
        <f aca="false">IFERROR((FA34+FB34)/(FA34+FB34+FC34),0)</f>
        <v>0</v>
      </c>
    </row>
    <row r="36" customFormat="false" ht="15" hidden="false" customHeight="false" outlineLevel="0" collapsed="false">
      <c r="A36" s="61" t="s">
        <v>584</v>
      </c>
      <c r="B36" s="62" t="n">
        <f aca="false">COUNTIF(B5:B34,"A")</f>
        <v>0</v>
      </c>
      <c r="C36" s="62" t="n">
        <f aca="false">COUNTIF(C5:C34,"A")</f>
        <v>0</v>
      </c>
      <c r="D36" s="62" t="n">
        <f aca="false">COUNTIF(D5:D34,"A")</f>
        <v>0</v>
      </c>
      <c r="E36" s="62" t="n">
        <f aca="false">COUNTIF(E5:E34,"A")</f>
        <v>0</v>
      </c>
      <c r="F36" s="62" t="n">
        <f aca="false">COUNTIF(F5:F34,"A")</f>
        <v>0</v>
      </c>
      <c r="G36" s="62" t="n">
        <f aca="false">COUNTIF(G5:G34,"A")</f>
        <v>0</v>
      </c>
      <c r="H36" s="62" t="n">
        <f aca="false">COUNTIF(H5:H34,"A")</f>
        <v>0</v>
      </c>
      <c r="I36" s="62" t="n">
        <f aca="false">COUNTIF(I5:I34,"A")</f>
        <v>0</v>
      </c>
      <c r="J36" s="62" t="n">
        <f aca="false">COUNTIF(J5:J34,"A")</f>
        <v>0</v>
      </c>
      <c r="K36" s="62" t="n">
        <f aca="false">COUNTIF(K5:K34,"A")</f>
        <v>0</v>
      </c>
      <c r="L36" s="62" t="n">
        <f aca="false">COUNTIF(L5:L34,"A")</f>
        <v>0</v>
      </c>
      <c r="M36" s="62" t="n">
        <f aca="false">COUNTIF(M5:M34,"A")</f>
        <v>0</v>
      </c>
      <c r="N36" s="62" t="n">
        <f aca="false">COUNTIF(N5:N34,"A")</f>
        <v>0</v>
      </c>
      <c r="O36" s="62" t="n">
        <f aca="false">COUNTIF(O5:O34,"A")</f>
        <v>0</v>
      </c>
      <c r="P36" s="62" t="n">
        <f aca="false">COUNTIF(P5:P34,"A")</f>
        <v>0</v>
      </c>
      <c r="Q36" s="62" t="n">
        <f aca="false">COUNTIF(Q5:Q34,"A")</f>
        <v>0</v>
      </c>
      <c r="R36" s="62" t="n">
        <f aca="false">COUNTIF(R5:R34,"A")</f>
        <v>0</v>
      </c>
      <c r="S36" s="62" t="n">
        <f aca="false">COUNTIF(S5:S34,"A")</f>
        <v>0</v>
      </c>
      <c r="T36" s="62" t="n">
        <f aca="false">COUNTIF(T5:T34,"A")</f>
        <v>0</v>
      </c>
      <c r="U36" s="62" t="n">
        <f aca="false">COUNTIF(U5:U34,"A")</f>
        <v>0</v>
      </c>
      <c r="V36" s="62" t="n">
        <f aca="false">COUNTIF(V5:V34,"A")</f>
        <v>0</v>
      </c>
      <c r="W36" s="62" t="n">
        <f aca="false">COUNTIF(W5:W34,"A")</f>
        <v>0</v>
      </c>
      <c r="X36" s="62" t="n">
        <f aca="false">COUNTIF(X5:X34,"A")</f>
        <v>0</v>
      </c>
      <c r="Y36" s="62" t="n">
        <f aca="false">COUNTIF(Y5:Y34,"A")</f>
        <v>0</v>
      </c>
      <c r="Z36" s="62" t="n">
        <f aca="false">COUNTIF(Z5:Z34,"A")</f>
        <v>0</v>
      </c>
      <c r="AA36" s="62" t="n">
        <f aca="false">COUNTIF(AA5:AA34,"A")</f>
        <v>0</v>
      </c>
      <c r="AB36" s="62" t="n">
        <f aca="false">COUNTIF(AB5:AB34,"A")</f>
        <v>0</v>
      </c>
      <c r="AC36" s="62" t="n">
        <f aca="false">COUNTIF(AC5:AC34,"A")</f>
        <v>0</v>
      </c>
      <c r="AD36" s="62" t="n">
        <f aca="false">COUNTIF(AD5:AD34,"A")</f>
        <v>0</v>
      </c>
      <c r="AE36" s="62" t="n">
        <f aca="false">COUNTIF(AE5:AE34,"A")</f>
        <v>0</v>
      </c>
      <c r="AF36" s="62" t="n">
        <f aca="false">COUNTIF(AF5:AF34,"A")</f>
        <v>0</v>
      </c>
      <c r="AG36" s="62" t="n">
        <f aca="false">COUNTIF(AG5:AG34,"A")</f>
        <v>0</v>
      </c>
      <c r="AH36" s="62" t="n">
        <f aca="false">COUNTIF(AH5:AH34,"A")</f>
        <v>0</v>
      </c>
      <c r="AI36" s="62" t="n">
        <f aca="false">COUNTIF(AI5:AI34,"A")</f>
        <v>0</v>
      </c>
      <c r="AJ36" s="62" t="n">
        <f aca="false">COUNTIF(AJ5:AJ34,"A")</f>
        <v>0</v>
      </c>
      <c r="AK36" s="62" t="n">
        <f aca="false">COUNTIF(AK5:AK34,"A")</f>
        <v>0</v>
      </c>
      <c r="AL36" s="62" t="n">
        <f aca="false">COUNTIF(AL5:AL34,"A")</f>
        <v>0</v>
      </c>
      <c r="AM36" s="62" t="n">
        <f aca="false">COUNTIF(AM5:AM34,"A")</f>
        <v>0</v>
      </c>
      <c r="AN36" s="62" t="n">
        <f aca="false">COUNTIF(AN5:AN34,"A")</f>
        <v>0</v>
      </c>
      <c r="AO36" s="62" t="n">
        <f aca="false">COUNTIF(AO5:AO34,"A")</f>
        <v>0</v>
      </c>
      <c r="AP36" s="62" t="n">
        <f aca="false">COUNTIF(AP5:AP34,"A")</f>
        <v>0</v>
      </c>
      <c r="AQ36" s="62" t="n">
        <f aca="false">COUNTIF(AQ5:AQ34,"A")</f>
        <v>0</v>
      </c>
      <c r="AR36" s="62" t="n">
        <f aca="false">COUNTIF(AR5:AR34,"A")</f>
        <v>0</v>
      </c>
      <c r="AS36" s="62" t="n">
        <f aca="false">COUNTIF(AS5:AS34,"A")</f>
        <v>0</v>
      </c>
      <c r="AT36" s="62" t="n">
        <f aca="false">COUNTIF(AT5:AT34,"A")</f>
        <v>0</v>
      </c>
      <c r="AU36" s="62" t="n">
        <f aca="false">COUNTIF(AU5:AU34,"A")</f>
        <v>0</v>
      </c>
      <c r="AV36" s="62" t="n">
        <f aca="false">COUNTIF(AV5:AV34,"A")</f>
        <v>0</v>
      </c>
      <c r="AW36" s="62" t="n">
        <f aca="false">COUNTIF(AW5:AW34,"A")</f>
        <v>0</v>
      </c>
      <c r="AX36" s="62" t="n">
        <f aca="false">COUNTIF(AX5:AX34,"A")</f>
        <v>0</v>
      </c>
      <c r="AY36" s="62" t="n">
        <f aca="false">COUNTIF(AY5:AY34,"A")</f>
        <v>0</v>
      </c>
      <c r="AZ36" s="62" t="n">
        <f aca="false">COUNTIF(AZ5:AZ34,"A")</f>
        <v>0</v>
      </c>
      <c r="BA36" s="62" t="n">
        <f aca="false">COUNTIF(BA5:BA34,"A")</f>
        <v>0</v>
      </c>
      <c r="BB36" s="62" t="n">
        <f aca="false">COUNTIF(BB5:BB34,"A")</f>
        <v>0</v>
      </c>
      <c r="BC36" s="62" t="n">
        <f aca="false">COUNTIF(BC5:BC34,"A")</f>
        <v>0</v>
      </c>
      <c r="BD36" s="62" t="n">
        <f aca="false">COUNTIF(BD5:BD34,"A")</f>
        <v>0</v>
      </c>
      <c r="BE36" s="62" t="n">
        <f aca="false">COUNTIF(BE5:BE34,"A")</f>
        <v>0</v>
      </c>
      <c r="BF36" s="62" t="n">
        <f aca="false">COUNTIF(BF5:BF34,"A")</f>
        <v>0</v>
      </c>
      <c r="BG36" s="62" t="n">
        <f aca="false">COUNTIF(BG5:BG34,"A")</f>
        <v>0</v>
      </c>
      <c r="BH36" s="62" t="n">
        <f aca="false">COUNTIF(BH5:BH34,"A")</f>
        <v>0</v>
      </c>
      <c r="BI36" s="62" t="n">
        <f aca="false">COUNTIF(BI5:BI34,"A")</f>
        <v>0</v>
      </c>
      <c r="BJ36" s="62" t="n">
        <f aca="false">COUNTIF(BJ5:BJ34,"A")</f>
        <v>0</v>
      </c>
      <c r="BK36" s="62" t="n">
        <f aca="false">COUNTIF(BK5:BK34,"A")</f>
        <v>0</v>
      </c>
      <c r="BL36" s="62" t="n">
        <f aca="false">COUNTIF(BL5:BL34,"A")</f>
        <v>0</v>
      </c>
      <c r="BM36" s="62" t="n">
        <f aca="false">COUNTIF(BM5:BM34,"A")</f>
        <v>0</v>
      </c>
      <c r="BN36" s="62" t="n">
        <f aca="false">COUNTIF(BN5:BN34,"A")</f>
        <v>0</v>
      </c>
      <c r="BO36" s="62" t="n">
        <f aca="false">COUNTIF(BO5:BO34,"A")</f>
        <v>0</v>
      </c>
      <c r="BP36" s="62" t="n">
        <f aca="false">COUNTIF(BP5:BP34,"A")</f>
        <v>0</v>
      </c>
      <c r="BQ36" s="62" t="n">
        <f aca="false">COUNTIF(BQ5:BQ34,"A")</f>
        <v>0</v>
      </c>
      <c r="BR36" s="62" t="n">
        <f aca="false">COUNTIF(BR5:BR34,"A")</f>
        <v>0</v>
      </c>
      <c r="BS36" s="62" t="n">
        <f aca="false">COUNTIF(BS5:BS34,"A")</f>
        <v>0</v>
      </c>
      <c r="BT36" s="62" t="n">
        <f aca="false">COUNTIF(BT5:BT34,"A")</f>
        <v>0</v>
      </c>
      <c r="BU36" s="62" t="n">
        <f aca="false">COUNTIF(BU5:BU34,"A")</f>
        <v>0</v>
      </c>
      <c r="BV36" s="62" t="n">
        <f aca="false">COUNTIF(BV5:BV34,"A")</f>
        <v>0</v>
      </c>
      <c r="BW36" s="62" t="n">
        <f aca="false">COUNTIF(BW5:BW34,"A")</f>
        <v>0</v>
      </c>
      <c r="BX36" s="62" t="n">
        <f aca="false">COUNTIF(BX5:BX34,"A")</f>
        <v>0</v>
      </c>
      <c r="BY36" s="62" t="n">
        <f aca="false">COUNTIF(BY5:BY34,"A")</f>
        <v>0</v>
      </c>
      <c r="BZ36" s="62" t="n">
        <f aca="false">COUNTIF(BZ5:BZ34,"A")</f>
        <v>0</v>
      </c>
      <c r="CA36" s="62" t="n">
        <f aca="false">COUNTIF(CA5:CA34,"A")</f>
        <v>0</v>
      </c>
      <c r="CB36" s="62" t="n">
        <f aca="false">COUNTIF(CB5:CB34,"A")</f>
        <v>0</v>
      </c>
      <c r="CC36" s="62" t="n">
        <f aca="false">COUNTIF(CC5:CC34,"A")</f>
        <v>0</v>
      </c>
      <c r="CD36" s="62" t="n">
        <f aca="false">COUNTIF(CD5:CD34,"A")</f>
        <v>0</v>
      </c>
      <c r="CE36" s="62" t="n">
        <f aca="false">COUNTIF(CE5:CE34,"A")</f>
        <v>0</v>
      </c>
      <c r="CF36" s="62" t="n">
        <f aca="false">COUNTIF(CF5:CF34,"A")</f>
        <v>0</v>
      </c>
      <c r="CG36" s="62" t="n">
        <f aca="false">COUNTIF(CG5:CG34,"A")</f>
        <v>0</v>
      </c>
      <c r="CH36" s="62" t="n">
        <f aca="false">COUNTIF(CH5:CH34,"A")</f>
        <v>0</v>
      </c>
      <c r="CI36" s="62" t="n">
        <f aca="false">COUNTIF(CI5:CI34,"A")</f>
        <v>0</v>
      </c>
      <c r="CJ36" s="62" t="n">
        <f aca="false">COUNTIF(CJ5:CJ34,"A")</f>
        <v>0</v>
      </c>
      <c r="CK36" s="62" t="n">
        <f aca="false">COUNTIF(CK5:CK34,"A")</f>
        <v>0</v>
      </c>
      <c r="CL36" s="62" t="n">
        <f aca="false">COUNTIF(CL5:CL34,"A")</f>
        <v>0</v>
      </c>
      <c r="CM36" s="62" t="n">
        <f aca="false">COUNTIF(CM5:CM34,"A")</f>
        <v>0</v>
      </c>
      <c r="CN36" s="62" t="n">
        <f aca="false">COUNTIF(CN5:CN34,"A")</f>
        <v>0</v>
      </c>
      <c r="CO36" s="62" t="n">
        <f aca="false">COUNTIF(CO5:CO34,"A")</f>
        <v>0</v>
      </c>
      <c r="CP36" s="62" t="n">
        <f aca="false">COUNTIF(CP5:CP34,"A")</f>
        <v>0</v>
      </c>
      <c r="CQ36" s="62" t="n">
        <f aca="false">COUNTIF(CQ5:CQ34,"A")</f>
        <v>0</v>
      </c>
      <c r="CR36" s="62" t="n">
        <f aca="false">COUNTIF(CR5:CR34,"A")</f>
        <v>0</v>
      </c>
      <c r="CS36" s="62" t="n">
        <f aca="false">COUNTIF(CS5:CS34,"A")</f>
        <v>0</v>
      </c>
      <c r="CT36" s="62" t="n">
        <f aca="false">COUNTIF(CT5:CT34,"A")</f>
        <v>0</v>
      </c>
      <c r="CU36" s="62" t="n">
        <f aca="false">COUNTIF(CU5:CU34,"A")</f>
        <v>0</v>
      </c>
      <c r="CV36" s="62" t="n">
        <f aca="false">COUNTIF(CV5:CV34,"A")</f>
        <v>0</v>
      </c>
      <c r="CW36" s="62" t="n">
        <f aca="false">COUNTIF(CW5:CW34,"A")</f>
        <v>0</v>
      </c>
      <c r="CX36" s="62" t="n">
        <f aca="false">COUNTIF(CX5:CX34,"A")</f>
        <v>0</v>
      </c>
      <c r="CY36" s="62" t="n">
        <f aca="false">COUNTIF(CY5:CY34,"A")</f>
        <v>0</v>
      </c>
      <c r="CZ36" s="62" t="n">
        <f aca="false">COUNTIF(CZ5:CZ34,"A")</f>
        <v>0</v>
      </c>
      <c r="DA36" s="62" t="n">
        <f aca="false">COUNTIF(DA5:DA34,"A")</f>
        <v>0</v>
      </c>
      <c r="DB36" s="62" t="n">
        <f aca="false">COUNTIF(DB5:DB34,"A")</f>
        <v>0</v>
      </c>
      <c r="DC36" s="62" t="n">
        <f aca="false">COUNTIF(DC5:DC34,"A")</f>
        <v>0</v>
      </c>
      <c r="DD36" s="62" t="n">
        <f aca="false">COUNTIF(DD5:DD34,"A")</f>
        <v>0</v>
      </c>
      <c r="DE36" s="62" t="n">
        <f aca="false">COUNTIF(DE5:DE34,"A")</f>
        <v>0</v>
      </c>
      <c r="DF36" s="62" t="n">
        <f aca="false">COUNTIF(DF5:DF34,"A")</f>
        <v>0</v>
      </c>
      <c r="DG36" s="62" t="n">
        <f aca="false">COUNTIF(DG5:DG34,"A")</f>
        <v>0</v>
      </c>
      <c r="DH36" s="62" t="n">
        <f aca="false">COUNTIF(DH5:DH34,"A")</f>
        <v>0</v>
      </c>
      <c r="DI36" s="62" t="n">
        <f aca="false">COUNTIF(DI5:DI34,"A")</f>
        <v>0</v>
      </c>
      <c r="DJ36" s="62" t="n">
        <f aca="false">COUNTIF(DJ5:DJ34,"A")</f>
        <v>0</v>
      </c>
      <c r="DK36" s="62" t="n">
        <f aca="false">COUNTIF(DK5:DK34,"A")</f>
        <v>0</v>
      </c>
      <c r="DL36" s="62" t="n">
        <f aca="false">COUNTIF(DL5:DL34,"A")</f>
        <v>0</v>
      </c>
      <c r="DM36" s="62" t="n">
        <f aca="false">COUNTIF(DM5:DM34,"A")</f>
        <v>0</v>
      </c>
      <c r="DN36" s="62" t="n">
        <f aca="false">COUNTIF(DN5:DN34,"A")</f>
        <v>0</v>
      </c>
      <c r="DO36" s="62" t="n">
        <f aca="false">COUNTIF(DO5:DO34,"A")</f>
        <v>0</v>
      </c>
      <c r="DP36" s="62" t="n">
        <f aca="false">COUNTIF(DP5:DP34,"A")</f>
        <v>0</v>
      </c>
      <c r="DQ36" s="62" t="n">
        <f aca="false">COUNTIF(DQ5:DQ34,"A")</f>
        <v>0</v>
      </c>
      <c r="DR36" s="62" t="n">
        <f aca="false">COUNTIF(DR5:DR34,"A")</f>
        <v>0</v>
      </c>
      <c r="DS36" s="62" t="n">
        <f aca="false">COUNTIF(DS5:DS34,"A")</f>
        <v>0</v>
      </c>
      <c r="DT36" s="62" t="n">
        <f aca="false">COUNTIF(DT5:DT34,"A")</f>
        <v>0</v>
      </c>
      <c r="DU36" s="62" t="n">
        <f aca="false">COUNTIF(DU5:DU34,"A")</f>
        <v>0</v>
      </c>
      <c r="DV36" s="62" t="n">
        <f aca="false">COUNTIF(DV5:DV34,"A")</f>
        <v>0</v>
      </c>
      <c r="DW36" s="62" t="n">
        <f aca="false">COUNTIF(DW5:DW34,"A")</f>
        <v>0</v>
      </c>
      <c r="DX36" s="62" t="n">
        <f aca="false">COUNTIF(DX5:DX34,"A")</f>
        <v>0</v>
      </c>
      <c r="DY36" s="62" t="n">
        <f aca="false">COUNTIF(DY5:DY34,"A")</f>
        <v>0</v>
      </c>
      <c r="DZ36" s="62" t="n">
        <f aca="false">COUNTIF(DZ5:DZ34,"A")</f>
        <v>0</v>
      </c>
      <c r="EA36" s="62" t="n">
        <f aca="false">COUNTIF(EA5:EA34,"A")</f>
        <v>0</v>
      </c>
      <c r="EB36" s="62" t="n">
        <f aca="false">COUNTIF(EB5:EB34,"A")</f>
        <v>0</v>
      </c>
      <c r="EC36" s="62" t="n">
        <f aca="false">COUNTIF(EC5:EC34,"A")</f>
        <v>0</v>
      </c>
      <c r="ED36" s="62" t="n">
        <f aca="false">COUNTIF(ED5:ED34,"A")</f>
        <v>0</v>
      </c>
      <c r="EE36" s="62" t="n">
        <f aca="false">COUNTIF(EE5:EE34,"A")</f>
        <v>0</v>
      </c>
      <c r="EF36" s="62" t="n">
        <f aca="false">COUNTIF(EF5:EF34,"A")</f>
        <v>0</v>
      </c>
      <c r="EG36" s="62" t="n">
        <f aca="false">COUNTIF(EG5:EG34,"A")</f>
        <v>0</v>
      </c>
      <c r="EH36" s="62" t="n">
        <f aca="false">COUNTIF(EH5:EH34,"A")</f>
        <v>0</v>
      </c>
      <c r="EI36" s="62" t="n">
        <f aca="false">COUNTIF(EI5:EI34,"A")</f>
        <v>0</v>
      </c>
      <c r="EJ36" s="62" t="n">
        <f aca="false">COUNTIF(EJ5:EJ34,"A")</f>
        <v>0</v>
      </c>
      <c r="EK36" s="62" t="n">
        <f aca="false">COUNTIF(EK5:EK34,"A")</f>
        <v>0</v>
      </c>
      <c r="EL36" s="62" t="n">
        <f aca="false">COUNTIF(EL5:EL34,"A")</f>
        <v>0</v>
      </c>
      <c r="EM36" s="62" t="n">
        <f aca="false">COUNTIF(EM5:EM34,"A")</f>
        <v>0</v>
      </c>
      <c r="EN36" s="62" t="n">
        <f aca="false">COUNTIF(EN5:EN34,"A")</f>
        <v>0</v>
      </c>
      <c r="EO36" s="62" t="n">
        <f aca="false">COUNTIF(EO5:EO34,"A")</f>
        <v>0</v>
      </c>
      <c r="EP36" s="62" t="n">
        <f aca="false">COUNTIF(EP5:EP34,"A")</f>
        <v>0</v>
      </c>
      <c r="EQ36" s="62" t="n">
        <f aca="false">COUNTIF(EQ5:EQ34,"A")</f>
        <v>0</v>
      </c>
      <c r="ER36" s="62" t="n">
        <f aca="false">COUNTIF(ER5:ER34,"A")</f>
        <v>0</v>
      </c>
      <c r="ES36" s="62" t="n">
        <f aca="false">COUNTIF(ES5:ES34,"A")</f>
        <v>0</v>
      </c>
      <c r="ET36" s="62" t="n">
        <f aca="false">COUNTIF(ET5:ET34,"A")</f>
        <v>0</v>
      </c>
      <c r="EU36" s="62" t="n">
        <f aca="false">COUNTIF(EU5:EU34,"A")</f>
        <v>0</v>
      </c>
      <c r="EV36" s="62" t="n">
        <f aca="false">COUNTIF(EV5:EV34,"A")</f>
        <v>0</v>
      </c>
      <c r="EW36" s="62" t="n">
        <f aca="false">COUNTIF(EW5:EW34,"A")</f>
        <v>0</v>
      </c>
      <c r="EX36" s="62" t="n">
        <f aca="false">COUNTIF(EX5:EX34,"A")</f>
        <v>0</v>
      </c>
      <c r="EY36" s="62" t="n">
        <f aca="false">COUNTIF(EY5:EY34,"A")</f>
        <v>0</v>
      </c>
      <c r="EZ36" s="62" t="n">
        <f aca="false">COUNTIF(EZ5:EZ34,"A")</f>
        <v>0</v>
      </c>
    </row>
  </sheetData>
  <mergeCells count="39">
    <mergeCell ref="A1:G1"/>
    <mergeCell ref="A2:G2"/>
    <mergeCell ref="A3:A4"/>
    <mergeCell ref="B3:F3"/>
    <mergeCell ref="G3:K3"/>
    <mergeCell ref="L3:P3"/>
    <mergeCell ref="Q3:U3"/>
    <mergeCell ref="V3:Z3"/>
    <mergeCell ref="AA3:AE3"/>
    <mergeCell ref="AF3:AJ3"/>
    <mergeCell ref="AK3:AO3"/>
    <mergeCell ref="AP3:AT3"/>
    <mergeCell ref="AU3:AY3"/>
    <mergeCell ref="AZ3:BD3"/>
    <mergeCell ref="BE3:BI3"/>
    <mergeCell ref="BJ3:BN3"/>
    <mergeCell ref="BO3:BS3"/>
    <mergeCell ref="BT3:BX3"/>
    <mergeCell ref="BY3:CC3"/>
    <mergeCell ref="CD3:CH3"/>
    <mergeCell ref="CI3:CM3"/>
    <mergeCell ref="CN3:CR3"/>
    <mergeCell ref="CS3:CW3"/>
    <mergeCell ref="CX3:DB3"/>
    <mergeCell ref="DC3:DG3"/>
    <mergeCell ref="DH3:DL3"/>
    <mergeCell ref="DM3:DQ3"/>
    <mergeCell ref="DR3:DV3"/>
    <mergeCell ref="DW3:EA3"/>
    <mergeCell ref="EB3:EF3"/>
    <mergeCell ref="EG3:EK3"/>
    <mergeCell ref="EL3:EP3"/>
    <mergeCell ref="EQ3:EU3"/>
    <mergeCell ref="EV3:EZ3"/>
    <mergeCell ref="FA3:FA4"/>
    <mergeCell ref="FB3:FB4"/>
    <mergeCell ref="FC3:FC4"/>
    <mergeCell ref="FD3:FD4"/>
    <mergeCell ref="FE3:FE4"/>
  </mergeCells>
  <conditionalFormatting sqref="B5:EZ34">
    <cfRule type="cellIs" priority="2" operator="equal" aboveAverage="0" equalAverage="0" bottom="0" percent="0" rank="0" text="" dxfId="0">
      <formula>"A"</formula>
    </cfRule>
    <cfRule type="cellIs" priority="3" operator="equal" aboveAverage="0" equalAverage="0" bottom="0" percent="0" rank="0" text="" dxfId="1">
      <formula>"O"</formula>
    </cfRule>
    <cfRule type="cellIs" priority="4" operator="equal" aboveAverage="0" equalAverage="0" bottom="0" percent="0" rank="0" text="" dxfId="2">
      <formula>"D"</formula>
    </cfRule>
    <cfRule type="cellIs" priority="5" operator="equal" aboveAverage="0" equalAverage="0" bottom="0" percent="0" rank="0" text="" dxfId="3">
      <formula>"N/A"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70"/>
    <col collapsed="false" customWidth="true" hidden="false" outlineLevel="0" max="3" min="3" style="0" width="30"/>
  </cols>
  <sheetData>
    <row r="1" customFormat="false" ht="27.75" hidden="false" customHeight="true" outlineLevel="0" collapsed="false">
      <c r="A1" s="31" t="s">
        <v>585</v>
      </c>
      <c r="B1" s="31"/>
      <c r="C1" s="31"/>
    </row>
    <row r="2" customFormat="false" ht="15" hidden="false" customHeight="false" outlineLevel="0" collapsed="false">
      <c r="A2" s="63" t="s">
        <v>586</v>
      </c>
      <c r="B2" s="63"/>
      <c r="C2" s="63"/>
    </row>
    <row r="4" customFormat="false" ht="15" hidden="false" customHeight="false" outlineLevel="0" collapsed="false">
      <c r="A4" s="19" t="s">
        <v>587</v>
      </c>
      <c r="B4" s="19" t="s">
        <v>588</v>
      </c>
      <c r="C4" s="19" t="s">
        <v>589</v>
      </c>
    </row>
    <row r="5" customFormat="false" ht="30" hidden="false" customHeight="true" outlineLevel="0" collapsed="false">
      <c r="A5" s="64" t="s">
        <v>590</v>
      </c>
      <c r="B5" s="22" t="s">
        <v>591</v>
      </c>
      <c r="C5" s="22" t="s">
        <v>592</v>
      </c>
    </row>
    <row r="6" customFormat="false" ht="30" hidden="false" customHeight="true" outlineLevel="0" collapsed="false">
      <c r="A6" s="64" t="s">
        <v>593</v>
      </c>
      <c r="B6" s="22" t="s">
        <v>594</v>
      </c>
      <c r="C6" s="22" t="s">
        <v>595</v>
      </c>
    </row>
    <row r="7" customFormat="false" ht="30" hidden="false" customHeight="true" outlineLevel="0" collapsed="false">
      <c r="A7" s="64" t="s">
        <v>596</v>
      </c>
      <c r="B7" s="22" t="s">
        <v>597</v>
      </c>
      <c r="C7" s="22" t="s">
        <v>598</v>
      </c>
    </row>
    <row r="8" customFormat="false" ht="30" hidden="false" customHeight="true" outlineLevel="0" collapsed="false">
      <c r="A8" s="64" t="s">
        <v>599</v>
      </c>
      <c r="B8" s="22" t="s">
        <v>600</v>
      </c>
      <c r="C8" s="22" t="s">
        <v>601</v>
      </c>
    </row>
    <row r="9" customFormat="false" ht="30" hidden="false" customHeight="true" outlineLevel="0" collapsed="false">
      <c r="A9" s="64" t="s">
        <v>602</v>
      </c>
      <c r="B9" s="22" t="s">
        <v>603</v>
      </c>
      <c r="C9" s="22" t="s">
        <v>604</v>
      </c>
    </row>
    <row r="10" customFormat="false" ht="30" hidden="false" customHeight="true" outlineLevel="0" collapsed="false">
      <c r="A10" s="64" t="s">
        <v>605</v>
      </c>
      <c r="B10" s="22" t="s">
        <v>606</v>
      </c>
      <c r="C10" s="22" t="s">
        <v>607</v>
      </c>
    </row>
    <row r="11" customFormat="false" ht="30" hidden="false" customHeight="true" outlineLevel="0" collapsed="false">
      <c r="A11" s="64" t="s">
        <v>608</v>
      </c>
      <c r="B11" s="22" t="s">
        <v>609</v>
      </c>
      <c r="C11" s="22" t="s">
        <v>610</v>
      </c>
    </row>
    <row r="12" customFormat="false" ht="30" hidden="false" customHeight="true" outlineLevel="0" collapsed="false">
      <c r="A12" s="64" t="s">
        <v>611</v>
      </c>
      <c r="B12" s="22" t="s">
        <v>612</v>
      </c>
      <c r="C12" s="22" t="s">
        <v>613</v>
      </c>
    </row>
    <row r="13" customFormat="false" ht="30" hidden="false" customHeight="true" outlineLevel="0" collapsed="false">
      <c r="A13" s="64" t="s">
        <v>614</v>
      </c>
      <c r="B13" s="22" t="s">
        <v>615</v>
      </c>
      <c r="C13" s="22" t="s">
        <v>616</v>
      </c>
    </row>
    <row r="14" customFormat="false" ht="30" hidden="false" customHeight="true" outlineLevel="0" collapsed="false">
      <c r="A14" s="64" t="s">
        <v>617</v>
      </c>
      <c r="B14" s="22" t="s">
        <v>618</v>
      </c>
      <c r="C14" s="22" t="s">
        <v>619</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50"/>
    <col collapsed="false" customWidth="true" hidden="false" outlineLevel="0" max="4" min="4" style="0" width="28"/>
  </cols>
  <sheetData>
    <row r="1" customFormat="false" ht="27.75" hidden="false" customHeight="true" outlineLevel="0" collapsed="false">
      <c r="A1" s="31" t="s">
        <v>620</v>
      </c>
      <c r="B1" s="31"/>
      <c r="C1" s="31"/>
      <c r="D1" s="31"/>
    </row>
    <row r="2" customFormat="false" ht="15" hidden="false" customHeight="false" outlineLevel="0" collapsed="false">
      <c r="A2" s="63" t="s">
        <v>621</v>
      </c>
      <c r="B2" s="63"/>
      <c r="C2" s="63"/>
      <c r="D2" s="63"/>
    </row>
    <row r="4" customFormat="false" ht="21.75" hidden="false" customHeight="true" outlineLevel="0" collapsed="false">
      <c r="A4" s="65" t="s">
        <v>622</v>
      </c>
      <c r="B4" s="65"/>
      <c r="C4" s="65"/>
      <c r="D4" s="65"/>
    </row>
    <row r="5" customFormat="false" ht="15" hidden="false" customHeight="false" outlineLevel="0" collapsed="false">
      <c r="A5" s="19" t="s">
        <v>623</v>
      </c>
      <c r="B5" s="19" t="s">
        <v>624</v>
      </c>
      <c r="C5" s="19" t="s">
        <v>625</v>
      </c>
      <c r="D5" s="19" t="s">
        <v>626</v>
      </c>
    </row>
    <row r="6" customFormat="false" ht="21.75" hidden="false" customHeight="true" outlineLevel="0" collapsed="false">
      <c r="A6" s="66" t="s">
        <v>627</v>
      </c>
      <c r="B6" s="32" t="s">
        <v>628</v>
      </c>
      <c r="C6" s="32" t="s">
        <v>629</v>
      </c>
      <c r="D6" s="32"/>
    </row>
    <row r="7" customFormat="false" ht="21.75" hidden="false" customHeight="true" outlineLevel="0" collapsed="false">
      <c r="A7" s="66" t="s">
        <v>630</v>
      </c>
      <c r="B7" s="32" t="s">
        <v>631</v>
      </c>
      <c r="C7" s="32" t="s">
        <v>632</v>
      </c>
      <c r="D7" s="32"/>
    </row>
    <row r="8" customFormat="false" ht="21.75" hidden="false" customHeight="true" outlineLevel="0" collapsed="false">
      <c r="A8" s="66" t="s">
        <v>633</v>
      </c>
      <c r="B8" s="32" t="s">
        <v>634</v>
      </c>
      <c r="C8" s="32" t="s">
        <v>635</v>
      </c>
      <c r="D8" s="32"/>
    </row>
    <row r="9" customFormat="false" ht="21.75" hidden="false" customHeight="true" outlineLevel="0" collapsed="false">
      <c r="A9" s="66" t="s">
        <v>636</v>
      </c>
      <c r="B9" s="32" t="s">
        <v>637</v>
      </c>
      <c r="C9" s="32" t="s">
        <v>638</v>
      </c>
      <c r="D9" s="32"/>
    </row>
    <row r="10" customFormat="false" ht="21.75" hidden="false" customHeight="true" outlineLevel="0" collapsed="false">
      <c r="A10" s="66" t="s">
        <v>639</v>
      </c>
      <c r="B10" s="32" t="s">
        <v>640</v>
      </c>
      <c r="C10" s="32" t="s">
        <v>641</v>
      </c>
      <c r="D10" s="32"/>
    </row>
    <row r="11" customFormat="false" ht="21.75" hidden="false" customHeight="true" outlineLevel="0" collapsed="false">
      <c r="A11" s="66" t="s">
        <v>642</v>
      </c>
      <c r="B11" s="32" t="s">
        <v>643</v>
      </c>
      <c r="C11" s="32" t="s">
        <v>644</v>
      </c>
      <c r="D11" s="32"/>
    </row>
    <row r="12" customFormat="false" ht="21.75" hidden="false" customHeight="true" outlineLevel="0" collapsed="false">
      <c r="A12" s="66" t="s">
        <v>645</v>
      </c>
      <c r="B12" s="32" t="s">
        <v>646</v>
      </c>
      <c r="C12" s="32" t="s">
        <v>647</v>
      </c>
      <c r="D12" s="32"/>
    </row>
    <row r="13" customFormat="false" ht="21.75" hidden="false" customHeight="true" outlineLevel="0" collapsed="false">
      <c r="A13" s="66" t="s">
        <v>648</v>
      </c>
      <c r="B13" s="32" t="s">
        <v>649</v>
      </c>
      <c r="C13" s="32" t="s">
        <v>650</v>
      </c>
      <c r="D13" s="32"/>
    </row>
    <row r="14" customFormat="false" ht="21.75" hidden="false" customHeight="true" outlineLevel="0" collapsed="false">
      <c r="A14" s="66" t="s">
        <v>651</v>
      </c>
      <c r="B14" s="32" t="s">
        <v>652</v>
      </c>
      <c r="C14" s="32" t="s">
        <v>653</v>
      </c>
      <c r="D14" s="32"/>
    </row>
    <row r="15" customFormat="false" ht="21.75" hidden="false" customHeight="true" outlineLevel="0" collapsed="false">
      <c r="A15" s="66" t="s">
        <v>654</v>
      </c>
      <c r="B15" s="32" t="s">
        <v>655</v>
      </c>
      <c r="C15" s="32" t="s">
        <v>656</v>
      </c>
      <c r="D15" s="32"/>
    </row>
    <row r="16" customFormat="false" ht="21.75" hidden="false" customHeight="true" outlineLevel="0" collapsed="false">
      <c r="A16" s="66" t="s">
        <v>657</v>
      </c>
      <c r="B16" s="32" t="s">
        <v>658</v>
      </c>
      <c r="C16" s="32" t="s">
        <v>659</v>
      </c>
      <c r="D16" s="32"/>
    </row>
    <row r="17" customFormat="false" ht="21.75" hidden="false" customHeight="true" outlineLevel="0" collapsed="false">
      <c r="A17" s="66" t="s">
        <v>660</v>
      </c>
      <c r="B17" s="32" t="s">
        <v>661</v>
      </c>
      <c r="C17" s="32" t="s">
        <v>662</v>
      </c>
      <c r="D17" s="32"/>
    </row>
    <row r="18" customFormat="false" ht="21.75" hidden="false" customHeight="true" outlineLevel="0" collapsed="false">
      <c r="A18" s="66" t="s">
        <v>663</v>
      </c>
      <c r="B18" s="32" t="s">
        <v>664</v>
      </c>
      <c r="C18" s="32" t="s">
        <v>665</v>
      </c>
      <c r="D18" s="32"/>
    </row>
    <row r="19" customFormat="false" ht="21.75" hidden="false" customHeight="true" outlineLevel="0" collapsed="false">
      <c r="A19" s="66" t="s">
        <v>666</v>
      </c>
      <c r="B19" s="32" t="s">
        <v>667</v>
      </c>
      <c r="C19" s="32" t="s">
        <v>668</v>
      </c>
      <c r="D19" s="32"/>
    </row>
    <row r="20" customFormat="false" ht="21.75" hidden="false" customHeight="true" outlineLevel="0" collapsed="false">
      <c r="A20" s="66" t="s">
        <v>669</v>
      </c>
      <c r="B20" s="32" t="s">
        <v>670</v>
      </c>
      <c r="C20" s="32" t="s">
        <v>668</v>
      </c>
      <c r="D20" s="32"/>
    </row>
    <row r="21" customFormat="false" ht="21.75" hidden="false" customHeight="true" outlineLevel="0" collapsed="false">
      <c r="A21" s="66" t="s">
        <v>671</v>
      </c>
      <c r="B21" s="32" t="s">
        <v>672</v>
      </c>
      <c r="C21" s="32" t="s">
        <v>673</v>
      </c>
      <c r="D21" s="32"/>
    </row>
    <row r="24" customFormat="false" ht="21.75" hidden="false" customHeight="true" outlineLevel="0" collapsed="false">
      <c r="A24" s="65" t="s">
        <v>674</v>
      </c>
      <c r="B24" s="65"/>
      <c r="C24" s="65"/>
      <c r="D24" s="65"/>
    </row>
    <row r="25" customFormat="false" ht="15" hidden="false" customHeight="false" outlineLevel="0" collapsed="false">
      <c r="A25" s="67" t="s">
        <v>675</v>
      </c>
      <c r="B25" s="68" t="s">
        <v>676</v>
      </c>
      <c r="C25" s="68"/>
      <c r="D25" s="68"/>
    </row>
    <row r="26" customFormat="false" ht="21.75" hidden="false" customHeight="true" outlineLevel="0" collapsed="false">
      <c r="A26" s="69" t="s">
        <v>677</v>
      </c>
      <c r="B26" s="70" t="s">
        <v>678</v>
      </c>
      <c r="C26" s="70"/>
      <c r="D26" s="70"/>
    </row>
    <row r="27" customFormat="false" ht="21.75" hidden="false" customHeight="true" outlineLevel="0" collapsed="false">
      <c r="A27" s="69" t="s">
        <v>679</v>
      </c>
      <c r="B27" s="70" t="s">
        <v>680</v>
      </c>
      <c r="C27" s="70"/>
      <c r="D27" s="70"/>
    </row>
    <row r="28" customFormat="false" ht="21.75" hidden="false" customHeight="true" outlineLevel="0" collapsed="false">
      <c r="A28" s="69" t="s">
        <v>681</v>
      </c>
      <c r="B28" s="70" t="s">
        <v>682</v>
      </c>
      <c r="C28" s="70"/>
      <c r="D28" s="70"/>
    </row>
    <row r="29" customFormat="false" ht="21.75" hidden="false" customHeight="true" outlineLevel="0" collapsed="false">
      <c r="A29" s="69" t="s">
        <v>683</v>
      </c>
      <c r="B29" s="70" t="s">
        <v>684</v>
      </c>
      <c r="C29" s="70"/>
      <c r="D29" s="70"/>
    </row>
    <row r="30" customFormat="false" ht="21.75" hidden="false" customHeight="true" outlineLevel="0" collapsed="false">
      <c r="A30" s="69" t="s">
        <v>685</v>
      </c>
      <c r="B30" s="70" t="s">
        <v>686</v>
      </c>
      <c r="C30" s="70"/>
      <c r="D30" s="70"/>
    </row>
    <row r="31" customFormat="false" ht="21.75" hidden="false" customHeight="true" outlineLevel="0" collapsed="false">
      <c r="A31" s="69" t="s">
        <v>687</v>
      </c>
      <c r="B31" s="70" t="s">
        <v>688</v>
      </c>
      <c r="C31" s="70"/>
      <c r="D31" s="70"/>
    </row>
    <row r="32" customFormat="false" ht="21.75" hidden="false" customHeight="true" outlineLevel="0" collapsed="false">
      <c r="A32" s="69" t="s">
        <v>689</v>
      </c>
      <c r="B32" s="70" t="s">
        <v>690</v>
      </c>
      <c r="C32" s="70"/>
      <c r="D32" s="70"/>
    </row>
    <row r="33" customFormat="false" ht="21.75" hidden="false" customHeight="true" outlineLevel="0" collapsed="false">
      <c r="A33" s="69" t="s">
        <v>691</v>
      </c>
      <c r="B33" s="70" t="s">
        <v>692</v>
      </c>
      <c r="C33" s="70"/>
      <c r="D33" s="70"/>
    </row>
    <row r="34" customFormat="false" ht="21.75" hidden="false" customHeight="true" outlineLevel="0" collapsed="false">
      <c r="A34" s="69" t="s">
        <v>693</v>
      </c>
      <c r="B34" s="70" t="s">
        <v>694</v>
      </c>
      <c r="C34" s="70"/>
      <c r="D34" s="70"/>
    </row>
    <row r="35" customFormat="false" ht="21.75" hidden="false" customHeight="true" outlineLevel="0" collapsed="false">
      <c r="A35" s="69" t="s">
        <v>695</v>
      </c>
      <c r="B35" s="70" t="s">
        <v>696</v>
      </c>
      <c r="C35" s="70"/>
      <c r="D35" s="70"/>
    </row>
    <row r="36" customFormat="false" ht="21.75" hidden="false" customHeight="true" outlineLevel="0" collapsed="false">
      <c r="A36" s="69" t="s">
        <v>697</v>
      </c>
      <c r="B36" s="70" t="s">
        <v>698</v>
      </c>
      <c r="C36" s="70"/>
      <c r="D36" s="70"/>
    </row>
    <row r="37" customFormat="false" ht="21.75" hidden="false" customHeight="true" outlineLevel="0" collapsed="false">
      <c r="A37" s="69" t="s">
        <v>699</v>
      </c>
      <c r="B37" s="70" t="s">
        <v>700</v>
      </c>
      <c r="C37" s="70"/>
      <c r="D37" s="70"/>
    </row>
    <row r="38" customFormat="false" ht="21.75" hidden="false" customHeight="true" outlineLevel="0" collapsed="false">
      <c r="A38" s="69" t="s">
        <v>701</v>
      </c>
      <c r="B38" s="70" t="s">
        <v>702</v>
      </c>
      <c r="C38" s="70"/>
      <c r="D38" s="70"/>
    </row>
    <row r="39" customFormat="false" ht="21.75" hidden="false" customHeight="true" outlineLevel="0" collapsed="false">
      <c r="A39" s="69" t="s">
        <v>703</v>
      </c>
      <c r="B39" s="70" t="s">
        <v>704</v>
      </c>
      <c r="C39" s="70"/>
      <c r="D39" s="70"/>
    </row>
  </sheetData>
  <mergeCells count="19">
    <mergeCell ref="A1:D1"/>
    <mergeCell ref="A2:D2"/>
    <mergeCell ref="A4:D4"/>
    <mergeCell ref="A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2026-04-26T19:02:10Z</dcterms:created>
  <dc:creator>openpyxl</dc:creator>
  <dc:description/>
  <dc:language>en-US</dc:language>
  <cp:lastModifiedBy/>
  <dcterms:modified xsi:type="dcterms:W3CDTF">2026-04-26T19:02:10Z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